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Performance" sheetId="2" state="visible" r:id="rId4"/>
    <sheet name="Order Outcomes" sheetId="3" state="visible" r:id="rId5"/>
    <sheet name="Funnel Chart" sheetId="4" state="visible" r:id="rId6"/>
    <sheet name="Signals" sheetId="5" state="visible" r:id="rId7"/>
    <sheet name="Executions" sheetId="6" state="visible" r:id="rId8"/>
    <sheet name="By Symbol" sheetId="7" state="visible" r:id="rId9"/>
    <sheet name="By Strategy" sheetId="8" state="visible" r:id="rId10"/>
    <sheet name="Risk Events" sheetId="9" state="visible" r:id="rId11"/>
    <sheet name="Block Reasons" sheetId="10" state="visible" r:id="rId12"/>
    <sheet name="Closed Trades" sheetId="11" state="visible" r:id="rId13"/>
    <sheet name="Note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<sst xmlns="http://schemas.openxmlformats.org/spreadsheetml/2006/main" count="3440" uniqueCount="896">
  <si>
    <t xml:space="preserve">Signal vs Trade Performance Analysis</t>
  </si>
  <si>
    <t xml:space="preserve">Period: 2026-04-15 20:29 UTC  -&gt;  2026-04-17 14:34 UTC</t>
  </si>
  <si>
    <t xml:space="preserve">Signal Pipeline Funnel</t>
  </si>
  <si>
    <t xml:space="preserve">Stage</t>
  </si>
  <si>
    <t xml:space="preserve">Count</t>
  </si>
  <si>
    <t xml:space="preserve">% of signals</t>
  </si>
  <si>
    <t xml:space="preserve">Actionable signals (BUY/SELL)</t>
  </si>
  <si>
    <t xml:space="preserve">Sent to AI review (DeepSeek-R1)</t>
  </si>
  <si>
    <t xml:space="preserve">AI verdicts issued</t>
  </si>
  <si>
    <t xml:space="preserve">AI approved</t>
  </si>
  <si>
    <t xml:space="preserve">AI rejected</t>
  </si>
  <si>
    <t xml:space="preserve">Preflight blocks (spread/etc.)</t>
  </si>
  <si>
    <t xml:space="preserve">Orders placed (executions)</t>
  </si>
  <si>
    <t xml:space="preserve">Trades logged as closed</t>
  </si>
  <si>
    <t xml:space="preserve">Key Metrics</t>
  </si>
  <si>
    <t xml:space="preserve">Metric</t>
  </si>
  <si>
    <t xml:space="preserve">Value</t>
  </si>
  <si>
    <t xml:space="preserve">Notes</t>
  </si>
  <si>
    <t xml:space="preserve">Signals matched to an execution (&lt;=15 min, same symbol+side)</t>
  </si>
  <si>
    <t xml:space="preserve">79/107 signals produced an order</t>
  </si>
  <si>
    <t xml:space="preserve">Average signal confidence</t>
  </si>
  <si>
    <t xml:space="preserve">Strategy engine confidence on raw signals</t>
  </si>
  <si>
    <t xml:space="preserve">AI-verified flag rate</t>
  </si>
  <si>
    <t xml:space="preserve">Share of signals flagged 'AI verified' at emission</t>
  </si>
  <si>
    <t xml:space="preserve">AI approval rate (verdicts)</t>
  </si>
  <si>
    <t xml:space="preserve">APPROVED / total verdicts</t>
  </si>
  <si>
    <t xml:space="preserve">Execution rate (orders / signals)</t>
  </si>
  <si>
    <t xml:space="preserve">Orders placed divided by actionable signals</t>
  </si>
  <si>
    <t xml:space="preserve">Average R:R on placed orders</t>
  </si>
  <si>
    <t xml:space="preserve">(TP-Entry) / (Entry-SL), in price units</t>
  </si>
  <si>
    <t xml:space="preserve">Breakeven SL moves</t>
  </si>
  <si>
    <t xml:space="preserve">Risk mgmt automation triggered</t>
  </si>
  <si>
    <t xml:space="preserve">Partial close events</t>
  </si>
  <si>
    <t xml:space="preserve">Take-profit partials</t>
  </si>
  <si>
    <t xml:space="preserve">AI-requested closes</t>
  </si>
  <si>
    <t xml:space="preserve">Risk AI ordered an early close</t>
  </si>
  <si>
    <t xml:space="preserve">Closed trades in log</t>
  </si>
  <si>
    <t xml:space="preserve">Net P&amp;L data only for these</t>
  </si>
  <si>
    <t xml:space="preserve">Closed Trade P&amp;L</t>
  </si>
  <si>
    <t xml:space="preserve">Symbol</t>
  </si>
  <si>
    <t xml:space="preserve">Direction</t>
  </si>
  <si>
    <t xml:space="preserve">P&amp;L</t>
  </si>
  <si>
    <t xml:space="preserve">EURJPY</t>
  </si>
  <si>
    <t xml:space="preserve">BUY</t>
  </si>
  <si>
    <t xml:space="preserve">Net P&amp;L</t>
  </si>
  <si>
    <t xml:space="preserve">Performance Breakdown (Reconstructed from Event Log)</t>
  </si>
  <si>
    <t xml:space="preserve">Source: derived from order_placed / monitor / breakeven / partial_close / close events in ai_thoughts.jsonl. Per-order realised P&amp;L is reconstructed in 'R' (multiples of initial SL distance) because the closed-trade log contains only 1 record. Caveats apply — see Notes sheet.</t>
  </si>
  <si>
    <t xml:space="preserve">Order Status Distribution</t>
  </si>
  <si>
    <t xml:space="preserve">Status</t>
  </si>
  <si>
    <t xml:space="preserve">% of orders</t>
  </si>
  <si>
    <t xml:space="preserve">Meaning</t>
  </si>
  <si>
    <t xml:space="preserve">PARTIAL+BE</t>
  </si>
  <si>
    <t xml:space="preserve">Hit 1R partial close, remainder at BE — winners capped at 1R + runner</t>
  </si>
  <si>
    <t xml:space="preserve">BE_ONLY</t>
  </si>
  <si>
    <t xml:space="preserve">SL moved to BE without partial — worst case 0R on full position</t>
  </si>
  <si>
    <t xml:space="preserve">SL_OR_RUNNER</t>
  </si>
  <si>
    <t xml:space="preserve">Last seen ≤ -0.9R — either hit SL or drifted beyond SL without close</t>
  </si>
  <si>
    <t xml:space="preserve">AI_CLOSE</t>
  </si>
  <si>
    <t xml:space="preserve">Risk AI forced an early close</t>
  </si>
  <si>
    <t xml:space="preserve">OPEN</t>
  </si>
  <si>
    <t xml:space="preserve">Still open at log cutoff, not yet in protected state</t>
  </si>
  <si>
    <t xml:space="preserve">TOTAL</t>
  </si>
  <si>
    <t xml:space="preserve">Win/Loss &amp; Profit Factor (estimated, in R)</t>
  </si>
  <si>
    <t xml:space="preserve">A) Capped @-1R</t>
  </si>
  <si>
    <t xml:space="preserve">B) Uncapped (realistic)</t>
  </si>
  <si>
    <t xml:space="preserve">Total orders</t>
  </si>
  <si>
    <t xml:space="preserve">Wins (&gt;+0.05R)</t>
  </si>
  <si>
    <t xml:space="preserve">Losses (&lt;-0.05R)</t>
  </si>
  <si>
    <t xml:space="preserve">Break-evens (±0.05R)</t>
  </si>
  <si>
    <t xml:space="preserve">Dominated by BE_ONLY status</t>
  </si>
  <si>
    <t xml:space="preserve">Win rate</t>
  </si>
  <si>
    <t xml:space="preserve">Loss rate</t>
  </si>
  <si>
    <t xml:space="preserve">BE rate</t>
  </si>
  <si>
    <t xml:space="preserve">Trades protected to ~zero PnL</t>
  </si>
  <si>
    <t xml:space="preserve">Average win (R)</t>
  </si>
  <si>
    <t xml:space="preserve">Capped by partial design at ~+0.5R–2R</t>
  </si>
  <si>
    <t xml:space="preserve">Average loss (R)</t>
  </si>
  <si>
    <t xml:space="preserve">Capped view assumes SL honoured at -1R</t>
  </si>
  <si>
    <t xml:space="preserve">Payoff ratio (|avg win / avg loss|)</t>
  </si>
  <si>
    <t xml:space="preserve">Should be &gt;=1.0 for viable edge</t>
  </si>
  <si>
    <t xml:space="preserve">Gross profit (R)</t>
  </si>
  <si>
    <t xml:space="preserve">Gross loss (R)</t>
  </si>
  <si>
    <t xml:space="preserve">Profit factor</t>
  </si>
  <si>
    <t xml:space="preserve">Healthy &gt;=1.5; marginal 1.0-1.5; losing &lt;1.0</t>
  </si>
  <si>
    <t xml:space="preserve">Expectancy per trade (R)</t>
  </si>
  <si>
    <t xml:space="preserve">Net result (R)</t>
  </si>
  <si>
    <t xml:space="preserve">Largest winning trade (R)</t>
  </si>
  <si>
    <t xml:space="preserve">Worst trade (R)</t>
  </si>
  <si>
    <t xml:space="preserve">Uncapped view shows realised tail losses from SL not honouring</t>
  </si>
  <si>
    <t xml:space="preserve">Risk Automation Impact (Winners cut / Losers ran)</t>
  </si>
  <si>
    <t xml:space="preserve">Indicator</t>
  </si>
  <si>
    <t xml:space="preserve">Of what</t>
  </si>
  <si>
    <t xml:space="preserve">Comment</t>
  </si>
  <si>
    <t xml:space="preserve">Orders that hit 1R partial</t>
  </si>
  <si>
    <t xml:space="preserve">of 65</t>
  </si>
  <si>
    <t xml:space="preserve">Remainder protected at BE — winners capped at 1R on half, BE on the rest</t>
  </si>
  <si>
    <t xml:space="preserve">  …whose peak never reached TP (2R+)</t>
  </si>
  <si>
    <t xml:space="preserve">of 35 partialled</t>
  </si>
  <si>
    <t xml:space="preserve">Partial at 1R was the right call; price never reached full TP</t>
  </si>
  <si>
    <t xml:space="preserve">  …whose peak did reach TP</t>
  </si>
  <si>
    <t xml:space="preserve">Partial left money on the table — full TP achievable</t>
  </si>
  <si>
    <t xml:space="preserve">Orders with BE but no partial</t>
  </si>
  <si>
    <t xml:space="preserve">BE triggered at +10pts, position capped at 0R on full</t>
  </si>
  <si>
    <t xml:space="preserve">  …that peaked ≥10pts then drifted back to &lt;10pts</t>
  </si>
  <si>
    <t xml:space="preserve">of 15 BE-only</t>
  </si>
  <si>
    <t xml:space="preserve">Strong candidate for 'BE trigger cut the winner'</t>
  </si>
  <si>
    <t xml:space="preserve">Orders without any BE protection</t>
  </si>
  <si>
    <t xml:space="preserve">These are the losers</t>
  </si>
  <si>
    <t xml:space="preserve">  …last monitor ≥ 1.5× SL distance in red</t>
  </si>
  <si>
    <t xml:space="preserve">of 15 unprotected</t>
  </si>
  <si>
    <t xml:space="preserve">Monitor kept firing beyond SL — either SL didn't honour or still open; strong evidence of losers running</t>
  </si>
  <si>
    <t xml:space="preserve">  …last monitor ≥ 0.9× SL distance in red</t>
  </si>
  <si>
    <t xml:space="preserve">Effectively full-SL fill or deeper</t>
  </si>
  <si>
    <t xml:space="preserve">Performance by Signal Confidence Bucket</t>
  </si>
  <si>
    <t xml:space="preserve">Confidence range</t>
  </si>
  <si>
    <t xml:space="preserve">Signals</t>
  </si>
  <si>
    <t xml:space="preserve">Orders placed</t>
  </si>
  <si>
    <t xml:space="preserve">Wins</t>
  </si>
  <si>
    <t xml:space="preserve">Losses</t>
  </si>
  <si>
    <t xml:space="preserve">Net R</t>
  </si>
  <si>
    <t xml:space="preserve">0.75</t>
  </si>
  <si>
    <t xml:space="preserve">0.80</t>
  </si>
  <si>
    <t xml:space="preserve">0.85</t>
  </si>
  <si>
    <t xml:space="preserve">Performance by Strategy</t>
  </si>
  <si>
    <t xml:space="preserve">Strategy</t>
  </si>
  <si>
    <t xml:space="preserve">Orders</t>
  </si>
  <si>
    <t xml:space="preserve">Avg R / trade</t>
  </si>
  <si>
    <t xml:space="preserve">CHoCH-BUY@PDL</t>
  </si>
  <si>
    <t xml:space="preserve">CHoCH-SELL@PDH</t>
  </si>
  <si>
    <t xml:space="preserve">Continuation-BUY@PDH</t>
  </si>
  <si>
    <t xml:space="preserve">Continuation-SELL@PDL</t>
  </si>
  <si>
    <t xml:space="preserve">Performance by Symbol</t>
  </si>
  <si>
    <t xml:space="preserve">BE</t>
  </si>
  <si>
    <t xml:space="preserve">EURUSD</t>
  </si>
  <si>
    <t xml:space="preserve">GBPJPY</t>
  </si>
  <si>
    <t xml:space="preserve">GBPUSD</t>
  </si>
  <si>
    <t xml:space="preserve">Per-Order Outcome Reconstruction</t>
  </si>
  <si>
    <t xml:space="preserve">Time (UTC)</t>
  </si>
  <si>
    <t xml:space="preserve">Order #</t>
  </si>
  <si>
    <t xml:space="preserve">Side</t>
  </si>
  <si>
    <t xml:space="preserve">Entry</t>
  </si>
  <si>
    <t xml:space="preserve">SL</t>
  </si>
  <si>
    <t xml:space="preserve">TP</t>
  </si>
  <si>
    <t xml:space="preserve">SL pts</t>
  </si>
  <si>
    <t xml:space="preserve">TP pts</t>
  </si>
  <si>
    <t xml:space="preserve">RR</t>
  </si>
  <si>
    <t xml:space="preserve">Peak pts</t>
  </si>
  <si>
    <t xml:space="preserve">Trough pts</t>
  </si>
  <si>
    <t xml:space="preserve">Last pts</t>
  </si>
  <si>
    <t xml:space="preserve">BE?</t>
  </si>
  <si>
    <t xml:space="preserve">Partial?</t>
  </si>
  <si>
    <t xml:space="preserve">AI Close?</t>
  </si>
  <si>
    <t xml:space="preserve">Est. R</t>
  </si>
  <si>
    <t xml:space="preserve">Sig Conf</t>
  </si>
  <si>
    <t xml:space="preserve">2026-04-15 20:34:29</t>
  </si>
  <si>
    <t xml:space="preserve">8220578960</t>
  </si>
  <si>
    <t xml:space="preserve">Y</t>
  </si>
  <si>
    <t xml:space="preserve">2026-04-15 20:45:13</t>
  </si>
  <si>
    <t xml:space="preserve">8220592176</t>
  </si>
  <si>
    <t xml:space="preserve">2026-04-15 22:18:05</t>
  </si>
  <si>
    <t xml:space="preserve">8220818407</t>
  </si>
  <si>
    <t xml:space="preserve">SELL</t>
  </si>
  <si>
    <t xml:space="preserve">2026-04-16 03:12:46</t>
  </si>
  <si>
    <t xml:space="preserve">8223287256</t>
  </si>
  <si>
    <t xml:space="preserve">2026-04-16 04:37:37</t>
  </si>
  <si>
    <t xml:space="preserve">8223990973</t>
  </si>
  <si>
    <t xml:space="preserve">2026-04-16 04:41:51</t>
  </si>
  <si>
    <t xml:space="preserve">8224027411</t>
  </si>
  <si>
    <t xml:space="preserve">2026-04-16 05:50:50</t>
  </si>
  <si>
    <t xml:space="preserve">8224792574</t>
  </si>
  <si>
    <t xml:space="preserve">2026-04-16 06:00:38</t>
  </si>
  <si>
    <t xml:space="preserve">8224940163</t>
  </si>
  <si>
    <t xml:space="preserve">2026-04-16 06:18:56</t>
  </si>
  <si>
    <t xml:space="preserve">8225166773</t>
  </si>
  <si>
    <t xml:space="preserve">2026-04-16 09:28:27</t>
  </si>
  <si>
    <t xml:space="preserve">8228066587</t>
  </si>
  <si>
    <t xml:space="preserve">2026-04-16 09:49:00</t>
  </si>
  <si>
    <t xml:space="preserve">8228390342</t>
  </si>
  <si>
    <t xml:space="preserve">2026-04-16 10:10:55</t>
  </si>
  <si>
    <t xml:space="preserve">8228686026</t>
  </si>
  <si>
    <t xml:space="preserve">2026-04-16 10:25:33</t>
  </si>
  <si>
    <t xml:space="preserve">8228918742</t>
  </si>
  <si>
    <t xml:space="preserve">2026-04-16 10:32:27</t>
  </si>
  <si>
    <t xml:space="preserve">8229036858</t>
  </si>
  <si>
    <t xml:space="preserve">2026-04-16 10:39:23</t>
  </si>
  <si>
    <t xml:space="preserve">8229137493</t>
  </si>
  <si>
    <t xml:space="preserve">2026-04-16 11:15:57</t>
  </si>
  <si>
    <t xml:space="preserve">8229792914</t>
  </si>
  <si>
    <t xml:space="preserve">2026-04-16 11:22:52</t>
  </si>
  <si>
    <t xml:space="preserve">8229891186</t>
  </si>
  <si>
    <t xml:space="preserve">2026-04-16 11:37:33</t>
  </si>
  <si>
    <t xml:space="preserve">8230117939</t>
  </si>
  <si>
    <t xml:space="preserve">2026-04-16 11:44:28</t>
  </si>
  <si>
    <t xml:space="preserve">8230213150</t>
  </si>
  <si>
    <t xml:space="preserve">2026-04-16 12:08:01</t>
  </si>
  <si>
    <t xml:space="preserve">8230614055</t>
  </si>
  <si>
    <t xml:space="preserve">2026-04-16 12:32:06</t>
  </si>
  <si>
    <t xml:space="preserve">8231051652</t>
  </si>
  <si>
    <t xml:space="preserve">2026-04-16 13:53:05</t>
  </si>
  <si>
    <t xml:space="preserve">8232853386</t>
  </si>
  <si>
    <t xml:space="preserve">2026-04-16 14:02:34</t>
  </si>
  <si>
    <t xml:space="preserve">8233270740</t>
  </si>
  <si>
    <t xml:space="preserve">2026-04-16 14:06:02</t>
  </si>
  <si>
    <t xml:space="preserve">8233399539</t>
  </si>
  <si>
    <t xml:space="preserve">2026-04-16 14:22:57</t>
  </si>
  <si>
    <t xml:space="preserve">8233933966</t>
  </si>
  <si>
    <t xml:space="preserve">2026-04-16 14:59:18</t>
  </si>
  <si>
    <t xml:space="preserve">8234874057</t>
  </si>
  <si>
    <t xml:space="preserve">2026-04-16 15:11:59</t>
  </si>
  <si>
    <t xml:space="preserve">8235257369</t>
  </si>
  <si>
    <t xml:space="preserve">2026-04-16 15:38:55</t>
  </si>
  <si>
    <t xml:space="preserve">8235831099</t>
  </si>
  <si>
    <t xml:space="preserve">2026-04-16 15:50:49</t>
  </si>
  <si>
    <t xml:space="preserve">8236060932</t>
  </si>
  <si>
    <t xml:space="preserve">2026-04-16 15:57:44</t>
  </si>
  <si>
    <t xml:space="preserve">8236168679</t>
  </si>
  <si>
    <t xml:space="preserve">2026-04-16 16:39:46</t>
  </si>
  <si>
    <t xml:space="preserve">8236942023</t>
  </si>
  <si>
    <t xml:space="preserve">2026-04-16 16:51:41</t>
  </si>
  <si>
    <t xml:space="preserve">8237191562</t>
  </si>
  <si>
    <t xml:space="preserve">2026-04-16 17:03:37</t>
  </si>
  <si>
    <t xml:space="preserve">8237402535</t>
  </si>
  <si>
    <t xml:space="preserve">2026-04-16 17:15:55</t>
  </si>
  <si>
    <t xml:space="preserve">8237608240</t>
  </si>
  <si>
    <t xml:space="preserve">2026-04-16 17:27:53</t>
  </si>
  <si>
    <t xml:space="preserve">8237798773</t>
  </si>
  <si>
    <t xml:space="preserve">2026-04-16 17:44:55</t>
  </si>
  <si>
    <t xml:space="preserve">8238126691</t>
  </si>
  <si>
    <t xml:space="preserve">2026-04-17 07:16:10</t>
  </si>
  <si>
    <t xml:space="preserve">8244936882</t>
  </si>
  <si>
    <t xml:space="preserve">2026-04-17 07:29:37</t>
  </si>
  <si>
    <t xml:space="preserve">8245131950</t>
  </si>
  <si>
    <t xml:space="preserve">2026-04-17 07:43:42</t>
  </si>
  <si>
    <t xml:space="preserve">8245376903</t>
  </si>
  <si>
    <t xml:space="preserve">2026-04-17 07:56:25</t>
  </si>
  <si>
    <t xml:space="preserve">8245602001</t>
  </si>
  <si>
    <t xml:space="preserve">2026-04-17 08:20:51</t>
  </si>
  <si>
    <t xml:space="preserve">8246030314</t>
  </si>
  <si>
    <t xml:space="preserve">2026-04-17 08:35:04</t>
  </si>
  <si>
    <t xml:space="preserve">8246236544</t>
  </si>
  <si>
    <t xml:space="preserve">2026-04-17 08:39:48</t>
  </si>
  <si>
    <t xml:space="preserve">8246287506</t>
  </si>
  <si>
    <t xml:space="preserve">2026-04-17 08:48:31</t>
  </si>
  <si>
    <t xml:space="preserve">8246458963</t>
  </si>
  <si>
    <t xml:space="preserve">2026-04-17 08:52:18</t>
  </si>
  <si>
    <t xml:space="preserve">8246518932</t>
  </si>
  <si>
    <t xml:space="preserve">2026-04-17 08:56:57</t>
  </si>
  <si>
    <t xml:space="preserve">8246583617</t>
  </si>
  <si>
    <t xml:space="preserve">2026-04-17 09:05:40</t>
  </si>
  <si>
    <t xml:space="preserve">8246742748</t>
  </si>
  <si>
    <t xml:space="preserve">2026-04-17 09:24:23</t>
  </si>
  <si>
    <t xml:space="preserve">8247026654</t>
  </si>
  <si>
    <t xml:space="preserve">2026-04-17 09:38:05</t>
  </si>
  <si>
    <t xml:space="preserve">8247218795</t>
  </si>
  <si>
    <t xml:space="preserve">2026-04-17 09:41:52</t>
  </si>
  <si>
    <t xml:space="preserve">8247259001</t>
  </si>
  <si>
    <t xml:space="preserve">2026-04-17 10:57:01</t>
  </si>
  <si>
    <t xml:space="preserve">8248283732</t>
  </si>
  <si>
    <t xml:space="preserve">2026-04-17 11:11:43</t>
  </si>
  <si>
    <t xml:space="preserve">8248487100</t>
  </si>
  <si>
    <t xml:space="preserve">2026-04-17 11:20:29</t>
  </si>
  <si>
    <t xml:space="preserve">8248595430</t>
  </si>
  <si>
    <t xml:space="preserve">2026-04-17 11:48:20</t>
  </si>
  <si>
    <t xml:space="preserve">8249147484</t>
  </si>
  <si>
    <t xml:space="preserve">2026-04-17 12:57:20</t>
  </si>
  <si>
    <t xml:space="preserve">8250827067</t>
  </si>
  <si>
    <t xml:space="preserve">2026-04-17 13:01:35</t>
  </si>
  <si>
    <t xml:space="preserve">8250981018</t>
  </si>
  <si>
    <t xml:space="preserve">2026-04-17 13:11:03</t>
  </si>
  <si>
    <t xml:space="preserve">8251481969</t>
  </si>
  <si>
    <t xml:space="preserve">2026-04-17 13:14:53</t>
  </si>
  <si>
    <t xml:space="preserve">8251737095</t>
  </si>
  <si>
    <t xml:space="preserve">2026-04-17 13:39:23</t>
  </si>
  <si>
    <t xml:space="preserve">8252660917</t>
  </si>
  <si>
    <t xml:space="preserve">2026-04-17 13:53:03</t>
  </si>
  <si>
    <t xml:space="preserve">8253113521</t>
  </si>
  <si>
    <t xml:space="preserve">2026-04-17 14:08:57</t>
  </si>
  <si>
    <t xml:space="preserve">8253589183</t>
  </si>
  <si>
    <t xml:space="preserve">2026-04-17 14:12:14</t>
  </si>
  <si>
    <t xml:space="preserve">8253673165</t>
  </si>
  <si>
    <t xml:space="preserve">2026-04-17 14:21:15</t>
  </si>
  <si>
    <t xml:space="preserve">8253918774</t>
  </si>
  <si>
    <t xml:space="preserve">2026-04-17 14:25:00</t>
  </si>
  <si>
    <t xml:space="preserve">8254015849</t>
  </si>
  <si>
    <t xml:space="preserve">2026-04-17 14:34:19</t>
  </si>
  <si>
    <t xml:space="preserve">8254222000</t>
  </si>
  <si>
    <t xml:space="preserve">Pipeline volume by stage</t>
  </si>
  <si>
    <t xml:space="preserve">Timestamp (UTC)</t>
  </si>
  <si>
    <t xml:space="preserve">Action</t>
  </si>
  <si>
    <t xml:space="preserve">Confidence</t>
  </si>
  <si>
    <t xml:space="preserve">AI Verified</t>
  </si>
  <si>
    <t xml:space="preserve">Matched Order</t>
  </si>
  <si>
    <t xml:space="preserve">Matched Entry</t>
  </si>
  <si>
    <t xml:space="preserve">Detail</t>
  </si>
  <si>
    <t xml:space="preserve">2026-04-15 20:29:34</t>
  </si>
  <si>
    <t xml:space="preserve">Yes</t>
  </si>
  <si>
    <t xml:space="preserve">ENV3 — Continuation BUY: broke above PDH 215.78100, retesting as support. Strength 1/2. Bullish: HH(2/2) HL(1/2) — uptre</t>
  </si>
  <si>
    <t xml:space="preserve">2026-04-15 20:30:10</t>
  </si>
  <si>
    <t xml:space="preserve">2026-04-15 20:30:33</t>
  </si>
  <si>
    <t xml:space="preserve">2026-04-15 20:30:48</t>
  </si>
  <si>
    <t xml:space="preserve">2026-04-15 20:31:04</t>
  </si>
  <si>
    <t xml:space="preserve">2026-04-15 20:31:20</t>
  </si>
  <si>
    <t xml:space="preserve">2026-04-15 20:31:36</t>
  </si>
  <si>
    <t xml:space="preserve">2026-04-15 20:32:17</t>
  </si>
  <si>
    <t xml:space="preserve">2026-04-15 20:33:11</t>
  </si>
  <si>
    <t xml:space="preserve">2026-04-15 20:34:11</t>
  </si>
  <si>
    <t xml:space="preserve">2026-04-15 20:34:28</t>
  </si>
  <si>
    <t xml:space="preserve">2026-04-15 20:35:07</t>
  </si>
  <si>
    <t xml:space="preserve">2026-04-15 20:39:29</t>
  </si>
  <si>
    <t xml:space="preserve">2026-04-15 20:41:24</t>
  </si>
  <si>
    <t xml:space="preserve">ENV2 — CHoCH SELL: failed HH at PDH 215.90400 ±1298.6p. Bearish CHoCH: failed HH — latest high 215.64100 &lt; prev 215.9040</t>
  </si>
  <si>
    <t xml:space="preserve">ENV4 — Continuation SELL: broke below PDL 215.18700, retesting as resistance. Strength 1/2. Bearish: LL(2/2) LH(1/2) — d</t>
  </si>
  <si>
    <t xml:space="preserve">ENV3 — Continuation BUY: broke above PDH 1.18079, retesting as support. Strength 1/2. Bullish: HH(1/2) HL(1/2) — uptrend</t>
  </si>
  <si>
    <t xml:space="preserve">ENV3 — Continuation BUY: broke above PDH 1.35788, retesting as support. Strength 1/2. Bullish: HH(1/2) HL(1/2) — uptrend</t>
  </si>
  <si>
    <t xml:space="preserve">ENV1 — CHoCH BUY: failed LL at PDL 215.18700 ±1725.0p. Bullish CHoCH: failed LL — latest low 215.35900 &gt; prev 215.11800</t>
  </si>
  <si>
    <t xml:space="preserve">ENV1 — CHoCH BUY: failed LL at PDL 215.18700 ±1753.9p. Bullish CHoCH: failed LL — latest low 215.35900 &gt; prev 215.11800</t>
  </si>
  <si>
    <t xml:space="preserve">ENV1 — CHoCH BUY: failed LL at PDL 215.18700 ±1630.7p. Bullish CHoCH: failed LL — latest low 215.35900 &gt; prev 215.11800</t>
  </si>
  <si>
    <t xml:space="preserve">2026-04-16 07:58:11</t>
  </si>
  <si>
    <t xml:space="preserve">ENV2 — CHoCH SELL: failed HH at PDH 215.90400 ±1490.4p. Bearish CHoCH: failed HH — latest high 215.63200 &lt; prev 215.7550</t>
  </si>
  <si>
    <t xml:space="preserve">2026-04-16 07:59:11</t>
  </si>
  <si>
    <t xml:space="preserve">2026-04-16 08:04:11</t>
  </si>
  <si>
    <t xml:space="preserve">ENV2 — CHoCH SELL: failed HH at PDH 215.90400 ±1491.4p. Bearish CHoCH: failed HH — latest high 215.63200 &lt; prev 215.7550</t>
  </si>
  <si>
    <t xml:space="preserve">2026-04-16 08:05:11</t>
  </si>
  <si>
    <t xml:space="preserve">ENV2 — CHoCH SELL: failed HH at PDH 215.90400 ±1498.9p. Bearish CHoCH: failed HH — latest high 215.63200 &lt; prev 215.7550</t>
  </si>
  <si>
    <t xml:space="preserve">2026-04-16 08:06:11</t>
  </si>
  <si>
    <t xml:space="preserve">2026-04-16 08:07:11</t>
  </si>
  <si>
    <t xml:space="preserve">2026-04-16 08:08:11</t>
  </si>
  <si>
    <t xml:space="preserve">ENV2 — CHoCH SELL: failed HH at PDH 215.90400 ±1502.1p. Bearish CHoCH: failed HH — latest high 215.63200 &lt; prev 215.7550</t>
  </si>
  <si>
    <t xml:space="preserve">2026-04-16 08:09:11</t>
  </si>
  <si>
    <t xml:space="preserve">2026-04-16 08:10:11</t>
  </si>
  <si>
    <t xml:space="preserve">2026-04-16 08:11:11</t>
  </si>
  <si>
    <t xml:space="preserve">ENV2 — CHoCH SELL: failed HH at PDH 215.90400 ±1522.5p. Bearish CHoCH: failed HH — latest high 215.63200 &lt; prev 215.7550</t>
  </si>
  <si>
    <t xml:space="preserve">2026-04-16 08:12:11</t>
  </si>
  <si>
    <t xml:space="preserve">ENV2 — CHoCH SELL: failed HH at PDH 215.90400 ±1532.1p. Bearish CHoCH: failed HH — latest high 215.63200 &lt; prev 215.7550</t>
  </si>
  <si>
    <t xml:space="preserve">2026-04-16 08:13:11</t>
  </si>
  <si>
    <t xml:space="preserve">2026-04-16 08:14:11</t>
  </si>
  <si>
    <t xml:space="preserve">2026-04-16 08:29:11</t>
  </si>
  <si>
    <t xml:space="preserve">ENV2 — CHoCH SELL: failed HH at PDH 215.90400 ±1537.5p. Bearish CHoCH: failed HH — latest high 215.63200 &lt; prev 215.7550</t>
  </si>
  <si>
    <t xml:space="preserve">2026-04-16 08:33:11</t>
  </si>
  <si>
    <t xml:space="preserve">ENV2 — CHoCH SELL: failed HH at PDH 215.90400 ±1557.9p. Bearish CHoCH: failed HH — latest high 215.63200 &lt; prev 215.7550</t>
  </si>
  <si>
    <t xml:space="preserve">2026-04-16 08:36:11</t>
  </si>
  <si>
    <t xml:space="preserve">2026-04-16 08:37:11</t>
  </si>
  <si>
    <t xml:space="preserve">ENV2 — CHoCH SELL: failed HH at PDH 215.90400 ±1569.6p. Bearish CHoCH: failed HH — latest high 215.63200 &lt; prev 215.7550</t>
  </si>
  <si>
    <t xml:space="preserve">2026-04-16 08:39:11</t>
  </si>
  <si>
    <t xml:space="preserve">ENV2 — CHoCH SELL: failed HH at PDH 215.90400 ±1571.8p. Bearish CHoCH: failed HH — latest high 215.63200 &lt; prev 215.7550</t>
  </si>
  <si>
    <t xml:space="preserve">2026-04-16 08:40:11</t>
  </si>
  <si>
    <t xml:space="preserve">2026-04-16 08:41:11</t>
  </si>
  <si>
    <t xml:space="preserve">ENV4 — Continuation SELL: broke below PDL 1.35432, retesting as resistance. Strength 2/2. Bearish: LL(2/2) LH(2/2) — dow</t>
  </si>
  <si>
    <t xml:space="preserve">2026-04-16 09:48:59</t>
  </si>
  <si>
    <t xml:space="preserve">ENV4 — Continuation SELL: broke below PDL 1.35432, retesting as resistance. Strength 1/2. Bearish: LL(1/2) LH(2/2) — dow</t>
  </si>
  <si>
    <t xml:space="preserve">ENV1 — CHoCH BUY: failed LL at PDL 215.18700 ±1411.1p. Bullish CHoCH: failed LL — latest low 215.39900 &gt; prev 215.25700</t>
  </si>
  <si>
    <t xml:space="preserve">ENV4 — Continuation SELL: broke below PDL 1.35432, retesting as resistance. Strength 1/2. Bearish: LL(1/2) LH(1/2) — dow</t>
  </si>
  <si>
    <t xml:space="preserve">ENV1 — CHoCH BUY: failed LL at PDL 215.18700 ±1466.8p. Bullish CHoCH: failed LL — latest low 215.39900 &gt; prev 215.25700</t>
  </si>
  <si>
    <t xml:space="preserve">2026-04-16 14:22:56</t>
  </si>
  <si>
    <t xml:space="preserve">ENV4 — Continuation SELL: broke below PDL 1.17715, retesting as resistance. Strength 1/2. Bearish: LL(1/2) LH(2/2) — dow</t>
  </si>
  <si>
    <t xml:space="preserve">ENV4 — Continuation SELL: broke below PDL 1.35432, retesting as resistance. Strength 1/2. Bearish: LL(2/2) LH(1/2) — dow</t>
  </si>
  <si>
    <t xml:space="preserve">2026-04-16 15:38:54</t>
  </si>
  <si>
    <t xml:space="preserve">2026-04-16 17:07:56</t>
  </si>
  <si>
    <t xml:space="preserve">ENV4 — Continuation SELL: broke below PDL 1.17715, retesting as resistance. Strength 1/2. Bearish: LL(1/2) LH(1/2) — dow</t>
  </si>
  <si>
    <t xml:space="preserve">2026-04-16 17:53:42</t>
  </si>
  <si>
    <t xml:space="preserve">ENV4 — Continuation SELL: broke below PDL 1.17715, retesting as resistance. Strength 1/2. Bearish: LL(2/2) LH(1/2) — dow</t>
  </si>
  <si>
    <t xml:space="preserve">2026-04-16 17:53:57</t>
  </si>
  <si>
    <t xml:space="preserve">2026-04-16 17:53:58</t>
  </si>
  <si>
    <t xml:space="preserve">ENV3 — Continuation BUY: broke above PDH 187.59800, retesting as support. Strength 2/2. Bullish: HH(2/2) HL(2/2) — uptre</t>
  </si>
  <si>
    <t xml:space="preserve">ENV3 — Continuation BUY: broke above PDH 187.59800, retesting as support. Strength 1/2. Bullish: HH(2/2) HL(1/2) — uptre</t>
  </si>
  <si>
    <t xml:space="preserve">ENV3 — Continuation BUY: broke above PDH 187.59800, retesting as support. Strength 1/2. Bullish: HH(1/2) HL(1/2) — uptre</t>
  </si>
  <si>
    <t xml:space="preserve">ENV1 — CHoCH BUY: failed LL at PDL 215.11800 ±1591.1p. Bullish CHoCH: failed LL — latest low 215.24900 &gt; prev 215.24100</t>
  </si>
  <si>
    <t xml:space="preserve">ENV1 — CHoCH BUY: failed LL at PDL 1.35162 ±9.2p. Bullish CHoCH: failed LL — latest low 1.35165 &gt; prev 1.35042</t>
  </si>
  <si>
    <t xml:space="preserve">ENV1 — CHoCH BUY: failed LL at PDL 215.11800 ±1642.5p. Bullish CHoCH: failed LL — latest low 215.24400 &gt; prev 215.24100</t>
  </si>
  <si>
    <t xml:space="preserve">ENV1 — CHoCH BUY: failed LL at PDL 1.17666 ±7.6p. Bullish CHoCH: failed LL — latest low 1.17741 &gt; prev 1.17716</t>
  </si>
  <si>
    <t xml:space="preserve">ENV1 — CHoCH BUY: failed LL at PDL 1.35162 ±10.1p. Bullish CHoCH: failed LL — latest low 1.35165 &gt; prev 1.35042</t>
  </si>
  <si>
    <t xml:space="preserve">ENV1 — CHoCH BUY: failed LL at PDL 215.11800 ±1665.0p. Bullish CHoCH: failed LL — latest low 215.24400 &gt; prev 215.24100</t>
  </si>
  <si>
    <t xml:space="preserve">ENV1 — CHoCH BUY: failed LL at PDL 1.17666 ±7.7p. Bullish CHoCH: failed LL — latest low 1.17741 &gt; prev 1.17716</t>
  </si>
  <si>
    <t xml:space="preserve">ENV1 — CHoCH BUY: failed LL at PDL 1.17666 ±8.2p. Bullish CHoCH: failed LL — latest low 1.17741 &gt; prev 1.17716</t>
  </si>
  <si>
    <t xml:space="preserve">ENV1 — CHoCH BUY: failed LL at PDL 1.17666 ±8.4p. Bullish CHoCH: failed LL — latest low 1.17741 &gt; prev 1.17716</t>
  </si>
  <si>
    <t xml:space="preserve">ENV1 — CHoCH BUY: failed LL at PDL 1.35162 ±11.1p. Bullish CHoCH: failed LL — latest low 1.35165 &gt; prev 1.35042</t>
  </si>
  <si>
    <t xml:space="preserve">ENV1 — CHoCH BUY: failed LL at PDL 215.11800 ±1588.9p. Bullish CHoCH: failed LL — latest low 215.18600 &gt; prev 215.14400</t>
  </si>
  <si>
    <t xml:space="preserve">ENV1 — CHoCH BUY: failed LL at PDL 215.11800 ±1611.4p. Bullish CHoCH: failed LL — latest low 215.18400 &gt; prev 215.14400</t>
  </si>
  <si>
    <t xml:space="preserve">ENV1 — CHoCH BUY: failed LL at PDL 215.11800 ±1601.8p. Bullish CHoCH: failed LL — latest low 215.18400 &gt; prev 215.14400</t>
  </si>
  <si>
    <t xml:space="preserve">ENV1 — CHoCH BUY: failed LL at PDL 215.11800 ±1593.2p. Bullish CHoCH: failed LL — latest low 215.18400 &gt; prev 215.14400</t>
  </si>
  <si>
    <t xml:space="preserve">2026-04-17 12:06:51</t>
  </si>
  <si>
    <t xml:space="preserve">No</t>
  </si>
  <si>
    <t xml:space="preserve">ENV1 — CHoCH BUY: failed LL at PDL 1.35162 ±10.9p. Bullish CHoCH: failed LL — latest low 1.35259 &gt; prev 1.35189</t>
  </si>
  <si>
    <t xml:space="preserve">2026-04-17 12:25:03</t>
  </si>
  <si>
    <t xml:space="preserve">ENV1 — CHoCH BUY: failed LL at PDL 1.35162 ±10.7p. Bullish CHoCH: failed LL — latest low 1.35259 &gt; prev 1.35189</t>
  </si>
  <si>
    <t xml:space="preserve">2026-04-17 12:43:58</t>
  </si>
  <si>
    <t xml:space="preserve">ENV1 — CHoCH BUY: failed LL at PDL 1.35162 ±12.5p. Bullish CHoCH: failed LL — latest low 1.35259 &gt; prev 1.35189</t>
  </si>
  <si>
    <t xml:space="preserve">ENV3 — Continuation BUY: broke above PDH 1.18238, retesting as support. Strength 1/2. Bullish: HH(1/2) HL(2/2) — uptrend</t>
  </si>
  <si>
    <t xml:space="preserve">ENV1 — CHoCH BUY: failed LL at PDL 1.35162 ±16.0p. Bullish CHoCH: failed LL — latest low 1.35259 &gt; prev 1.35189</t>
  </si>
  <si>
    <t xml:space="preserve">ENV1 — CHoCH BUY: failed LL at PDL 1.35162 ±17.5p. Bullish CHoCH: failed LL — latest low 1.35259 &gt; prev 1.35189</t>
  </si>
  <si>
    <t xml:space="preserve">ENV4 — Continuation SELL: broke below PDL 215.11800, retesting as resistance. Strength 1/2. Bearish: LL(1/2) LH(1/2) — d</t>
  </si>
  <si>
    <t xml:space="preserve">ENV2 — CHoCH SELL: failed HH at PDH 187.59800 ±2007.9p. Bearish CHoCH: failed HH — latest high 187.54800 &lt; prev 187.7650</t>
  </si>
  <si>
    <t xml:space="preserve">2026-04-17 14:12:13</t>
  </si>
  <si>
    <t xml:space="preserve">ENV3 — Continuation BUY: broke above PDH 1.18238, retesting as support. Strength 1/2. Bullish: HH(2/2) HL(1/2) — uptrend</t>
  </si>
  <si>
    <t xml:space="preserve">ENV2 — CHoCH SELL: failed HH at PDH 187.59800 ±2361.4p. Bearish CHoCH: failed HH — latest high 187.54800 &lt; prev 187.7650</t>
  </si>
  <si>
    <t xml:space="preserve">Risk (price)</t>
  </si>
  <si>
    <t xml:space="preserve">Reward (price)</t>
  </si>
  <si>
    <t xml:space="preserve">R:R</t>
  </si>
  <si>
    <t xml:space="preserve">AI Conf</t>
  </si>
  <si>
    <t xml:space="preserve">Averages / Totals</t>
  </si>
  <si>
    <t xml:space="preserve">Performance by symbol</t>
  </si>
  <si>
    <t xml:space="preserve">Exec rate</t>
  </si>
  <si>
    <t xml:space="preserve">Avg Confidence</t>
  </si>
  <si>
    <t xml:space="preserve">BUY signals</t>
  </si>
  <si>
    <t xml:space="preserve">SELL signals</t>
  </si>
  <si>
    <t xml:space="preserve">BE moves</t>
  </si>
  <si>
    <t xml:space="preserve">Partial closes</t>
  </si>
  <si>
    <t xml:space="preserve">Performance by strategy</t>
  </si>
  <si>
    <t xml:space="preserve">Matched orders</t>
  </si>
  <si>
    <t xml:space="preserve">Conversion</t>
  </si>
  <si>
    <t xml:space="preserve">Risk Management Event Log</t>
  </si>
  <si>
    <t xml:space="preserve">Source</t>
  </si>
  <si>
    <t xml:space="preserve">Summary</t>
  </si>
  <si>
    <t xml:space="preserve">2026-04-15 20:41:09</t>
  </si>
  <si>
    <t xml:space="preserve">partial_close</t>
  </si>
  <si>
    <t xml:space="preserve">detected_external</t>
  </si>
  <si>
    <t xml:space="preserve">reconcile</t>
  </si>
  <si>
    <t xml:space="preserve">#8217652060 partial detected via history — will move SL to BE</t>
  </si>
  <si>
    <t xml:space="preserve">rule_risk</t>
  </si>
  <si>
    <t xml:space="preserve">breakeven</t>
  </si>
  <si>
    <t xml:space="preserve">move_sl</t>
  </si>
  <si>
    <t xml:space="preserve">#8220578960 — SL to BE 215.59800 (profit=10.0pts &gt;= trigger=10pts)</t>
  </si>
  <si>
    <t xml:space="preserve">trigger</t>
  </si>
  <si>
    <t xml:space="preserve">1:1 hit #8220578960 — closing 50%</t>
  </si>
  <si>
    <t xml:space="preserve">Moving SL to BE 215.59800 on #8220578960</t>
  </si>
  <si>
    <t xml:space="preserve">2026-04-15 20:50:14</t>
  </si>
  <si>
    <t xml:space="preserve">preflight</t>
  </si>
  <si>
    <t xml:space="preserve">blocked</t>
  </si>
  <si>
    <t xml:space="preserve">hold</t>
  </si>
  <si>
    <t xml:space="preserve">Spread 32.0pts &gt; max 30</t>
  </si>
  <si>
    <t xml:space="preserve">2026-04-15 20:55:14</t>
  </si>
  <si>
    <t xml:space="preserve">Spread 40.0pts &gt; max 30</t>
  </si>
  <si>
    <t xml:space="preserve">2026-04-15 21:00:14</t>
  </si>
  <si>
    <t xml:space="preserve">Spread 150.0pts &gt; max 30</t>
  </si>
  <si>
    <t xml:space="preserve">Spread 58.0pts &gt; max 30</t>
  </si>
  <si>
    <t xml:space="preserve">Spread 152.0pts &gt; max 30</t>
  </si>
  <si>
    <t xml:space="preserve">2026-04-15 21:05:14</t>
  </si>
  <si>
    <t xml:space="preserve">ai_risk</t>
  </si>
  <si>
    <t xml:space="preserve">review_start</t>
  </si>
  <si>
    <t xml:space="preserve">Asking DeepSeek about #8218984673 SELL (-77pts, peak 0pts)</t>
  </si>
  <si>
    <t xml:space="preserve">2026-04-15 21:10:13</t>
  </si>
  <si>
    <t xml:space="preserve">#8218984673 holding (json) — short reason</t>
  </si>
  <si>
    <t xml:space="preserve">Spread 110.0pts &gt; max 30</t>
  </si>
  <si>
    <t xml:space="preserve">Spread 123.0pts &gt; max 30</t>
  </si>
  <si>
    <t xml:space="preserve">Spread 151.0pts &gt; max 30</t>
  </si>
  <si>
    <t xml:space="preserve">2026-04-15 21:15:13</t>
  </si>
  <si>
    <t xml:space="preserve">Spread 36.0pts &gt; max 30</t>
  </si>
  <si>
    <t xml:space="preserve">Spread 95.0pts &gt; max 30</t>
  </si>
  <si>
    <t xml:space="preserve">Spread 98.0pts &gt; max 30</t>
  </si>
  <si>
    <t xml:space="preserve">Spread 198.0pts &gt; max 30</t>
  </si>
  <si>
    <t xml:space="preserve">2026-04-15 21:20:14</t>
  </si>
  <si>
    <t xml:space="preserve">Asking DeepSeek about #8218984673 SELL (-73pts, peak 0pts)</t>
  </si>
  <si>
    <t xml:space="preserve">2026-04-15 21:24:57</t>
  </si>
  <si>
    <t xml:space="preserve">Spread 122.0pts &gt; max 30</t>
  </si>
  <si>
    <t xml:space="preserve">Spread 135.0pts &gt; max 30</t>
  </si>
  <si>
    <t xml:space="preserve">Spread 230.0pts &gt; max 30</t>
  </si>
  <si>
    <t xml:space="preserve">2026-04-15 21:29:57</t>
  </si>
  <si>
    <t xml:space="preserve">Asking DeepSeek about #8218984673 SELL (-61pts, peak 0pts)</t>
  </si>
  <si>
    <t xml:space="preserve">2026-04-15 21:35:20</t>
  </si>
  <si>
    <t xml:space="preserve">Spread 83.0pts &gt; max 30</t>
  </si>
  <si>
    <t xml:space="preserve">Spread 104.0pts &gt; max 30</t>
  </si>
  <si>
    <t xml:space="preserve">Spread 185.0pts &gt; max 30</t>
  </si>
  <si>
    <t xml:space="preserve">2026-04-15 21:40:20</t>
  </si>
  <si>
    <t xml:space="preserve">Asking DeepSeek about #8218984673 SELL (-92pts, peak 0pts)</t>
  </si>
  <si>
    <t xml:space="preserve">2026-04-15 21:46:00</t>
  </si>
  <si>
    <t xml:space="preserve">Spread 68.0pts &gt; max 30</t>
  </si>
  <si>
    <t xml:space="preserve">Spread 67.0pts &gt; max 30</t>
  </si>
  <si>
    <t xml:space="preserve">Spread 168.0pts &gt; max 30</t>
  </si>
  <si>
    <t xml:space="preserve">2026-04-15 21:51:00</t>
  </si>
  <si>
    <t xml:space="preserve">2026-04-15 21:57:44</t>
  </si>
  <si>
    <t xml:space="preserve">#8218984673 holding (json) — The stop loss is currently profitable, but the trend is intact, so we should hol</t>
  </si>
  <si>
    <t xml:space="preserve">Spread 44.0pts &gt; max 30</t>
  </si>
  <si>
    <t xml:space="preserve">Spread 126.0pts &gt; max 30</t>
  </si>
  <si>
    <t xml:space="preserve">Spread 173.0pts &gt; max 30</t>
  </si>
  <si>
    <t xml:space="preserve">2026-04-15 22:02:44</t>
  </si>
  <si>
    <t xml:space="preserve">Asking DeepSeek about #8218984673 SELL (-81pts, peak 0pts)</t>
  </si>
  <si>
    <t xml:space="preserve">2026-04-15 22:08:31</t>
  </si>
  <si>
    <t xml:space="preserve">2026-04-15 23:03:08</t>
  </si>
  <si>
    <t xml:space="preserve">#8220818407 — SL to BE 215.52300 (profit=16.0pts &gt;= trigger=10pts)</t>
  </si>
  <si>
    <t xml:space="preserve">1:1 hit #8220818407 — closing 50%</t>
  </si>
  <si>
    <t xml:space="preserve">Moving SL to BE 215.52300 on #8220818407</t>
  </si>
  <si>
    <t xml:space="preserve">2026-04-16 00:03:13</t>
  </si>
  <si>
    <t xml:space="preserve">Asking DeepSeek about #8217652060 BUY (+122pts, peak 122pts)</t>
  </si>
  <si>
    <t xml:space="preserve">2026-04-16 00:08:06</t>
  </si>
  <si>
    <t xml:space="preserve">#8217652060 holding (json) — short reason</t>
  </si>
  <si>
    <t xml:space="preserve">Asking DeepSeek about #8217652060 BUY (+43pts, peak 122pts)</t>
  </si>
  <si>
    <t xml:space="preserve">2026-04-16 00:13:28</t>
  </si>
  <si>
    <t xml:space="preserve">#8217652060 holding (json) — hold and trail stop loss</t>
  </si>
  <si>
    <t xml:space="preserve">2026-04-16 03:22:47</t>
  </si>
  <si>
    <t xml:space="preserve">Asking DeepSeek about #8223287256 SELL (-83pts, peak 0pts)</t>
  </si>
  <si>
    <t xml:space="preserve">2026-04-16 03:28:31</t>
  </si>
  <si>
    <t xml:space="preserve">#8223287256 holding (json) — hold</t>
  </si>
  <si>
    <t xml:space="preserve">2026-04-16 03:33:31</t>
  </si>
  <si>
    <t xml:space="preserve">Asking DeepSeek about #8223287256 SELL (-156pts, peak 0pts)</t>
  </si>
  <si>
    <t xml:space="preserve">2026-04-16 03:38:17</t>
  </si>
  <si>
    <t xml:space="preserve">#8223287256 holding (json) — hold the position to lock in the profit</t>
  </si>
  <si>
    <t xml:space="preserve">2026-04-16 05:55:50</t>
  </si>
  <si>
    <t xml:space="preserve">#8224792574 — SL to BE 215.52300 (profit=30.0pts &gt;= trigger=10pts)</t>
  </si>
  <si>
    <t xml:space="preserve">1:1 hit #8224792574 — closing 50%</t>
  </si>
  <si>
    <t xml:space="preserve">Moving SL to BE 215.52300 on #8224792574</t>
  </si>
  <si>
    <t xml:space="preserve">2026-04-16 06:33:57</t>
  </si>
  <si>
    <t xml:space="preserve">Asking DeepSeek about #8224940163 BUY (-61pts, peak 0pts)</t>
  </si>
  <si>
    <t xml:space="preserve">2026-04-16 06:40:11</t>
  </si>
  <si>
    <t xml:space="preserve">#8224940163 holding (json) — The current price is below the entry price, and there's no structural failure. T</t>
  </si>
  <si>
    <t xml:space="preserve">Asking DeepSeek about #8225166773 BUY (-82pts, peak 0pts)</t>
  </si>
  <si>
    <t xml:space="preserve">2026-04-16 06:50:17</t>
  </si>
  <si>
    <t xml:space="preserve">Asking DeepSeek about #8224940163 BUY (-138pts, peak 0pts)</t>
  </si>
  <si>
    <t xml:space="preserve">2026-04-16 06:55:23</t>
  </si>
  <si>
    <t xml:space="preserve">#8224940163 holding (json) — short reason</t>
  </si>
  <si>
    <t xml:space="preserve">Asking DeepSeek about #8225166773 BUY (-124pts, peak 0pts)</t>
  </si>
  <si>
    <t xml:space="preserve">2026-04-16 06:59:55</t>
  </si>
  <si>
    <t xml:space="preserve">#8225166773 holding (json) — short reason</t>
  </si>
  <si>
    <t xml:space="preserve">2026-04-16 07:04:55</t>
  </si>
  <si>
    <t xml:space="preserve">Asking DeepSeek about #8224940163 BUY (-64pts, peak 0pts)</t>
  </si>
  <si>
    <t xml:space="preserve">2026-04-16 07:10:53</t>
  </si>
  <si>
    <t xml:space="preserve">#8224940163 holding (json) — hold -- let it run</t>
  </si>
  <si>
    <t xml:space="preserve">Asking DeepSeek about #8225166773 BUY (-109pts, peak 0pts)</t>
  </si>
  <si>
    <t xml:space="preserve">2026-04-16 07:14:59</t>
  </si>
  <si>
    <t xml:space="preserve">2026-04-16 07:19:59</t>
  </si>
  <si>
    <t xml:space="preserve">Asking DeepSeek about #8224940163 BUY (-198pts, peak 0pts)</t>
  </si>
  <si>
    <t xml:space="preserve">2026-04-16 07:23:59</t>
  </si>
  <si>
    <t xml:space="preserve">Asking DeepSeek about #8225166773 BUY (-138pts, peak 0pts)</t>
  </si>
  <si>
    <t xml:space="preserve">2026-04-16 07:27:57</t>
  </si>
  <si>
    <t xml:space="preserve">#8225166773 holding (json) — hold -- let it run</t>
  </si>
  <si>
    <t xml:space="preserve">2026-04-16 07:32:58</t>
  </si>
  <si>
    <t xml:space="preserve">Asking DeepSeek about #8224940163 BUY (-236pts, peak 0pts)</t>
  </si>
  <si>
    <t xml:space="preserve">2026-04-16 07:36:44</t>
  </si>
  <si>
    <t xml:space="preserve">#8224940163 holding (json) — hold -- let it run through retracements until it breaks or the price recovers.</t>
  </si>
  <si>
    <t xml:space="preserve">Asking DeepSeek about #8225166773 BUY (-182pts, peak 0pts)</t>
  </si>
  <si>
    <t xml:space="preserve">2026-04-16 07:39:39</t>
  </si>
  <si>
    <t xml:space="preserve">2026-04-16 07:44:39</t>
  </si>
  <si>
    <t xml:space="preserve">Asking DeepSeek about #8224940163 BUY (-227pts, peak 0pts)</t>
  </si>
  <si>
    <t xml:space="preserve">2026-04-16 07:47:21</t>
  </si>
  <si>
    <t xml:space="preserve">2026-04-16 07:52:21</t>
  </si>
  <si>
    <t xml:space="preserve">Asking DeepSeek about #8224940163 BUY (-277pts, peak 0pts)</t>
  </si>
  <si>
    <t xml:space="preserve">2026-04-16 07:55:11</t>
  </si>
  <si>
    <t xml:space="preserve">2026-04-16 08:00:11</t>
  </si>
  <si>
    <t xml:space="preserve">Asking DeepSeek about #8224940163 BUY (-279pts, peak 0pts)</t>
  </si>
  <si>
    <t xml:space="preserve">2026-04-16 08:03:44</t>
  </si>
  <si>
    <t xml:space="preserve">2026-04-16 08:08:44</t>
  </si>
  <si>
    <t xml:space="preserve">Asking DeepSeek about #8224940163 BUY (-243pts, peak 0pts)</t>
  </si>
  <si>
    <t xml:space="preserve">2026-04-16 08:11:18</t>
  </si>
  <si>
    <t xml:space="preserve">2026-04-16 08:16:18</t>
  </si>
  <si>
    <t xml:space="preserve">Asking DeepSeek about #8224940163 BUY (-214pts, peak 0pts)</t>
  </si>
  <si>
    <t xml:space="preserve">2026-04-16 08:18:53</t>
  </si>
  <si>
    <t xml:space="preserve">2026-04-16 08:23:53</t>
  </si>
  <si>
    <t xml:space="preserve">Asking DeepSeek about #8224940163 BUY (-226pts, peak 0pts)</t>
  </si>
  <si>
    <t xml:space="preserve">2026-04-16 08:26:29</t>
  </si>
  <si>
    <t xml:space="preserve">2026-04-16 08:31:29</t>
  </si>
  <si>
    <t xml:space="preserve">Asking DeepSeek about #8224940163 BUY (-140pts, peak 0pts)</t>
  </si>
  <si>
    <t xml:space="preserve">2026-04-16 08:34:38</t>
  </si>
  <si>
    <t xml:space="preserve">2026-04-16 08:39:38</t>
  </si>
  <si>
    <t xml:space="preserve">Asking DeepSeek about #8224940163 BUY (-174pts, peak 0pts)</t>
  </si>
  <si>
    <t xml:space="preserve">2026-04-16 08:42:47</t>
  </si>
  <si>
    <t xml:space="preserve">2026-04-16 08:47:47</t>
  </si>
  <si>
    <t xml:space="preserve">Asking DeepSeek about #8224940163 BUY (-166pts, peak 0pts)</t>
  </si>
  <si>
    <t xml:space="preserve">2026-04-16 08:50:50</t>
  </si>
  <si>
    <t xml:space="preserve">#8224940163 holding (json) — hold</t>
  </si>
  <si>
    <t xml:space="preserve">2026-04-16 08:55:50</t>
  </si>
  <si>
    <t xml:space="preserve">Asking DeepSeek about #8224940163 BUY (-285pts, peak 0pts)</t>
  </si>
  <si>
    <t xml:space="preserve">2026-04-16 08:58:13</t>
  </si>
  <si>
    <t xml:space="preserve">2026-04-16 09:03:13</t>
  </si>
  <si>
    <t xml:space="preserve">Asking DeepSeek about #8224940163 BUY (-242pts, peak 0pts)</t>
  </si>
  <si>
    <t xml:space="preserve">2026-04-16 09:05:36</t>
  </si>
  <si>
    <t xml:space="preserve">2026-04-16 09:10:36</t>
  </si>
  <si>
    <t xml:space="preserve">Asking DeepSeek about #8224940163 BUY (-241pts, peak 0pts)</t>
  </si>
  <si>
    <t xml:space="preserve">2026-04-16 09:12:59</t>
  </si>
  <si>
    <t xml:space="preserve">2026-04-16 09:17:59</t>
  </si>
  <si>
    <t xml:space="preserve">Asking DeepSeek about #8224940163 BUY (-295pts, peak 0pts)</t>
  </si>
  <si>
    <t xml:space="preserve">2026-04-16 09:21:31</t>
  </si>
  <si>
    <t xml:space="preserve">Asking DeepSeek about #8224940163 BUY (-370pts, peak 0pts)</t>
  </si>
  <si>
    <t xml:space="preserve">2026-04-16 09:32:04</t>
  </si>
  <si>
    <t xml:space="preserve">2026-04-16 10:04:00</t>
  </si>
  <si>
    <t xml:space="preserve">#8228066587 — SL to BE 1.35381 (profit=40.0pts &gt;= trigger=10pts)</t>
  </si>
  <si>
    <t xml:space="preserve">#8228390342 — SL to BE 1.35372 (profit=31.0pts &gt;= trigger=10pts)</t>
  </si>
  <si>
    <t xml:space="preserve">2026-04-16 10:09:00</t>
  </si>
  <si>
    <t xml:space="preserve">1:1 hit #8228066587 — closing 50%</t>
  </si>
  <si>
    <t xml:space="preserve">Moving SL to BE 1.35381 on #8228066587</t>
  </si>
  <si>
    <t xml:space="preserve">2026-04-16 10:20:55</t>
  </si>
  <si>
    <t xml:space="preserve">#8228686026 — SL to BE 1.35366 (profit=11.0pts &gt;= trigger=10pts)</t>
  </si>
  <si>
    <t xml:space="preserve">Asking DeepSeek about #8228686026 SELL (+11pts, peak 11pts)</t>
  </si>
  <si>
    <t xml:space="preserve">2026-04-16 10:23:18</t>
  </si>
  <si>
    <t xml:space="preserve">#8228686026 holding (json) — short reason</t>
  </si>
  <si>
    <t xml:space="preserve">2026-04-16 10:30:33</t>
  </si>
  <si>
    <t xml:space="preserve">#8228918742 — SL to BE 1.35333 (profit=18.0pts &gt;= trigger=10pts)</t>
  </si>
  <si>
    <t xml:space="preserve">2026-04-16 10:30:34</t>
  </si>
  <si>
    <t xml:space="preserve">1:1 hit #8228918742 — closing 50%</t>
  </si>
  <si>
    <t xml:space="preserve">Moving SL to BE 1.35333 on #8228918742</t>
  </si>
  <si>
    <t xml:space="preserve">2026-04-16 10:44:23</t>
  </si>
  <si>
    <t xml:space="preserve">Asking DeepSeek about #8229036858 SELL (-46pts, peak 0pts)</t>
  </si>
  <si>
    <t xml:space="preserve">2026-04-16 10:47:23</t>
  </si>
  <si>
    <t xml:space="preserve">#8229036858 holding (json) — short reason</t>
  </si>
  <si>
    <t xml:space="preserve">2026-04-16 10:52:24</t>
  </si>
  <si>
    <t xml:space="preserve">Asking DeepSeek about #8229036858 SELL (-66pts, peak 0pts)</t>
  </si>
  <si>
    <t xml:space="preserve">2026-04-16 10:55:23</t>
  </si>
  <si>
    <t xml:space="preserve">Asking DeepSeek about #8229137493 SELL (-79pts, peak 0pts)</t>
  </si>
  <si>
    <t xml:space="preserve">2026-04-16 10:58:12</t>
  </si>
  <si>
    <t xml:space="preserve">#8229137493 holding (json) — short reason</t>
  </si>
  <si>
    <t xml:space="preserve">2026-04-16 11:03:13</t>
  </si>
  <si>
    <t xml:space="preserve">Asking DeepSeek about #8229036858 SELL (-139pts, peak 0pts)</t>
  </si>
  <si>
    <t xml:space="preserve">2026-04-16 11:06:20</t>
  </si>
  <si>
    <t xml:space="preserve">close</t>
  </si>
  <si>
    <t xml:space="preserve">#8229036858 — AI says CLOSE: close to minimize losses</t>
  </si>
  <si>
    <t xml:space="preserve">Asking DeepSeek about #8229137493 SELL (-188pts, peak 0pts)</t>
  </si>
  <si>
    <t xml:space="preserve">2026-04-16 11:09:02</t>
  </si>
  <si>
    <t xml:space="preserve">2026-04-16 11:20:57</t>
  </si>
  <si>
    <t xml:space="preserve">#8229792914 — SL to BE 1.35504 (profit=27.0pts &gt;= trigger=10pts)</t>
  </si>
  <si>
    <t xml:space="preserve">1:1 hit #8229792914 — closing 50%</t>
  </si>
  <si>
    <t xml:space="preserve">Moving SL to BE 1.35504 on #8229792914</t>
  </si>
  <si>
    <t xml:space="preserve">2026-04-16 11:32:53</t>
  </si>
  <si>
    <t xml:space="preserve">#8229891186 — SL to BE 1.35468 (profit=11.0pts &gt;= trigger=10pts)</t>
  </si>
  <si>
    <t xml:space="preserve">Asking DeepSeek about #8229891186 SELL (+11pts, peak 11pts)</t>
  </si>
  <si>
    <t xml:space="preserve">2026-04-16 11:35:16</t>
  </si>
  <si>
    <t xml:space="preserve">#8229891186 holding (json) — short reason</t>
  </si>
  <si>
    <t xml:space="preserve">2026-04-16 11:42:33</t>
  </si>
  <si>
    <t xml:space="preserve">#8230117939 — SL to BE 1.35462 (profit=30.0pts &gt;= trigger=10pts)</t>
  </si>
  <si>
    <t xml:space="preserve">1:1 hit #8230117939 — closing 50%</t>
  </si>
  <si>
    <t xml:space="preserve">Moving SL to BE 1.35462 on #8230117939</t>
  </si>
  <si>
    <t xml:space="preserve">2026-04-16 11:54:29</t>
  </si>
  <si>
    <t xml:space="preserve">Asking DeepSeek about #8230213150 SELL (-16pts, peak 0pts)</t>
  </si>
  <si>
    <t xml:space="preserve">2026-04-16 11:57:31</t>
  </si>
  <si>
    <t xml:space="preserve">#8230213150 holding (json) — short reason</t>
  </si>
  <si>
    <t xml:space="preserve">2026-04-16 12:02:31</t>
  </si>
  <si>
    <t xml:space="preserve">Asking DeepSeek about #8230213150 SELL (-10pts, peak 0pts)</t>
  </si>
  <si>
    <t xml:space="preserve">2026-04-16 12:05:30</t>
  </si>
  <si>
    <t xml:space="preserve">#8230213150 — SL to BE 1.35449 (profit=21.0pts &gt;= trigger=10pts)</t>
  </si>
  <si>
    <t xml:space="preserve">2026-04-16 12:13:01</t>
  </si>
  <si>
    <t xml:space="preserve">1:1 hit #8230213150 — closing 50%</t>
  </si>
  <si>
    <t xml:space="preserve">2026-04-16 12:13:02</t>
  </si>
  <si>
    <t xml:space="preserve">Moving SL to BE 1.35449 on #8230213150</t>
  </si>
  <si>
    <t xml:space="preserve">Asking DeepSeek about #8230213150 SELL (+37pts, peak 37pts)</t>
  </si>
  <si>
    <t xml:space="preserve">2026-04-16 12:15:23</t>
  </si>
  <si>
    <t xml:space="preserve">2026-04-16 12:20:23</t>
  </si>
  <si>
    <t xml:space="preserve">Asking DeepSeek about #8230213150 SELL (+39pts, peak 39pts)</t>
  </si>
  <si>
    <t xml:space="preserve">2026-04-16 12:22:45</t>
  </si>
  <si>
    <t xml:space="preserve">#8230614055 — SL to BE 1.35422 (profit=15.0pts &gt;= trigger=10pts)</t>
  </si>
  <si>
    <t xml:space="preserve">Asking DeepSeek about #8230614055 SELL (+15pts, peak 15pts)</t>
  </si>
  <si>
    <t xml:space="preserve">2026-04-16 12:25:12</t>
  </si>
  <si>
    <t xml:space="preserve">#8230614055 holding (json) — short reason</t>
  </si>
  <si>
    <t xml:space="preserve">2026-04-16 12:42:07</t>
  </si>
  <si>
    <t xml:space="preserve">Asking DeepSeek about #8231051652 SELL (-17pts, peak 0pts)</t>
  </si>
  <si>
    <t xml:space="preserve">2026-04-16 12:45:05</t>
  </si>
  <si>
    <t xml:space="preserve">#8231051652 holding (json) — short reason</t>
  </si>
  <si>
    <t xml:space="preserve">2026-04-16 12:50:05</t>
  </si>
  <si>
    <t xml:space="preserve">Asking DeepSeek about #8231051652 SELL (-81pts, peak 0pts)</t>
  </si>
  <si>
    <t xml:space="preserve">2026-04-16 12:53:02</t>
  </si>
  <si>
    <t xml:space="preserve">2026-04-16 12:58:02</t>
  </si>
  <si>
    <t xml:space="preserve">Asking DeepSeek about #8231051652 SELL (-69pts, peak 0pts)</t>
  </si>
  <si>
    <t xml:space="preserve">2026-04-16 13:01:23</t>
  </si>
  <si>
    <t xml:space="preserve">#8231051652 holding (json) — I will hold the position as the structure is intact and the profit is below the </t>
  </si>
  <si>
    <t xml:space="preserve">2026-04-16 13:06:24</t>
  </si>
  <si>
    <t xml:space="preserve">Asking DeepSeek about #8231051652 SELL (-32pts, peak 0pts)</t>
  </si>
  <si>
    <t xml:space="preserve">2026-04-16 13:08:47</t>
  </si>
  <si>
    <t xml:space="preserve">2026-04-16 13:13:48</t>
  </si>
  <si>
    <t xml:space="preserve">Asking DeepSeek about #8231051652 SELL (-41pts, peak 0pts)</t>
  </si>
  <si>
    <t xml:space="preserve">2026-04-16 13:16:11</t>
  </si>
  <si>
    <t xml:space="preserve">2026-04-16 13:21:12</t>
  </si>
  <si>
    <t xml:space="preserve">Asking DeepSeek about #8231051652 SELL (-71pts, peak 0pts)</t>
  </si>
  <si>
    <t xml:space="preserve">2026-04-16 13:25:30</t>
  </si>
  <si>
    <t xml:space="preserve">#8231051652 holding (json) — hold</t>
  </si>
  <si>
    <t xml:space="preserve">2026-04-16 13:30:30</t>
  </si>
  <si>
    <t xml:space="preserve">Asking DeepSeek about #8231051652 SELL (-70pts, peak 0pts)</t>
  </si>
  <si>
    <t xml:space="preserve">2026-04-16 13:33:42</t>
  </si>
  <si>
    <t xml:space="preserve">2026-04-16 13:38:43</t>
  </si>
  <si>
    <t xml:space="preserve">Asking DeepSeek about #8231051652 SELL (-102pts, peak 0pts)</t>
  </si>
  <si>
    <t xml:space="preserve">2026-04-16 13:42:08</t>
  </si>
  <si>
    <t xml:space="preserve">#8231051652 holding (json) — The structure is broken, and the profit is less than 5 points. Therefore, we cho</t>
  </si>
  <si>
    <t xml:space="preserve">2026-04-16 13:47:08</t>
  </si>
  <si>
    <t xml:space="preserve">2026-04-16 13:50:08</t>
  </si>
  <si>
    <t xml:space="preserve">2026-04-16 13:58:05</t>
  </si>
  <si>
    <t xml:space="preserve">#8231051652 — SL to BE 1.35400 (profit=50.0pts &gt;= trigger=10pts)</t>
  </si>
  <si>
    <t xml:space="preserve">2026-04-16 13:58:06</t>
  </si>
  <si>
    <t xml:space="preserve">Asking DeepSeek about #8231051652 SELL (+45pts, peak 45pts)</t>
  </si>
  <si>
    <t xml:space="preserve">2026-04-16 14:00:33</t>
  </si>
  <si>
    <t xml:space="preserve">#8232853386 — SL to BE 215.55900 (profit=26.0pts &gt;= trigger=10pts)</t>
  </si>
  <si>
    <t xml:space="preserve">1:1 hit #8232853386 — closing 50%</t>
  </si>
  <si>
    <t xml:space="preserve">Moving SL to BE 215.55900 on #8232853386</t>
  </si>
  <si>
    <t xml:space="preserve">2026-04-16 14:21:02</t>
  </si>
  <si>
    <t xml:space="preserve">#8233270740 — SL to BE 1.35383 (profit=75.0pts &gt;= trigger=10pts)</t>
  </si>
  <si>
    <t xml:space="preserve">1:1 hit #8233270740 — closing 50%</t>
  </si>
  <si>
    <t xml:space="preserve">Moving SL to BE 1.35383 on #8233270740</t>
  </si>
  <si>
    <t xml:space="preserve">2026-04-16 14:27:57</t>
  </si>
  <si>
    <t xml:space="preserve">Asking DeepSeek about #8233270740 SELL (+185pts, peak 185pts)</t>
  </si>
  <si>
    <t xml:space="preserve">2026-04-16 14:30:19</t>
  </si>
  <si>
    <t xml:space="preserve">#8233270740 holding (json) — short reason</t>
  </si>
  <si>
    <t xml:space="preserve">2026-04-16 14:35:19</t>
  </si>
  <si>
    <t xml:space="preserve">Asking DeepSeek about #8233270740 SELL (+153pts, peak 185pts)</t>
  </si>
  <si>
    <t xml:space="preserve">2026-04-16 14:37:41</t>
  </si>
  <si>
    <t xml:space="preserve">Asking DeepSeek about #8233933966 SELL (-62pts, peak 0pts)</t>
  </si>
  <si>
    <t xml:space="preserve">2026-04-16 14:41:07</t>
  </si>
  <si>
    <t xml:space="preserve">#8233933966 holding (json) — short reason</t>
  </si>
  <si>
    <t xml:space="preserve">2026-04-16 14:46:07</t>
  </si>
  <si>
    <t xml:space="preserve">Asking DeepSeek about #8233270740 SELL (+145pts, peak 185pts)</t>
  </si>
  <si>
    <t xml:space="preserve">2026-04-16 14:48:30</t>
  </si>
  <si>
    <t xml:space="preserve">Asking DeepSeek about #8233933966 SELL (-56pts, peak 0pts)</t>
  </si>
  <si>
    <t xml:space="preserve">2026-04-16 14:51:34</t>
  </si>
  <si>
    <t xml:space="preserve">Asking DeepSeek about #8233270740 SELL (+177pts, peak 185pts)</t>
  </si>
  <si>
    <t xml:space="preserve">2026-04-16 15:01:53</t>
  </si>
  <si>
    <t xml:space="preserve">#8233933966 — SL to BE 1.35201 (profit=16.0pts &gt;= trigger=10pts)</t>
  </si>
  <si>
    <t xml:space="preserve">Asking DeepSeek about #8233933966 SELL (+16pts, peak 16pts)</t>
  </si>
  <si>
    <t xml:space="preserve">2026-04-16 15:04:22</t>
  </si>
  <si>
    <t xml:space="preserve">2026-04-16 15:21:59</t>
  </si>
  <si>
    <t xml:space="preserve">#8235257369 — SL to BE 1.35337 (profit=59.0pts &gt;= trigger=10pts)</t>
  </si>
  <si>
    <t xml:space="preserve">2026-04-16 15:26:59</t>
  </si>
  <si>
    <t xml:space="preserve">1:1 hit #8235257369 — closing 50%</t>
  </si>
  <si>
    <t xml:space="preserve">Moving SL to BE 1.35337 on #8235257369</t>
  </si>
  <si>
    <t xml:space="preserve">2026-04-16 15:48:55</t>
  </si>
  <si>
    <t xml:space="preserve">#8235831099 — SL to BE 1.35340 (profit=12.0pts &gt;= trigger=10pts)</t>
  </si>
  <si>
    <t xml:space="preserve">1:1 hit #8235831099 — closing 50%</t>
  </si>
  <si>
    <t xml:space="preserve">Moving SL to BE 1.35340 on #8235831099</t>
  </si>
  <si>
    <t xml:space="preserve">2026-04-16 15:55:49</t>
  </si>
  <si>
    <t xml:space="preserve">#8236060932 — SL to BE 1.35343 (profit=38.0pts &gt;= trigger=10pts)</t>
  </si>
  <si>
    <t xml:space="preserve">1:1 hit #8236060932 — closing 50%</t>
  </si>
  <si>
    <t xml:space="preserve">Moving SL to BE 1.35343 on #8236060932</t>
  </si>
  <si>
    <t xml:space="preserve">2026-04-16 16:37:45</t>
  </si>
  <si>
    <t xml:space="preserve">#8236168679 — SL to BE 1.35332 (profit=23.0pts &gt;= trigger=10pts)</t>
  </si>
  <si>
    <t xml:space="preserve">1:1 hit #8236168679 — closing 50%</t>
  </si>
  <si>
    <t xml:space="preserve">Moving SL to BE 1.35332 on #8236168679</t>
  </si>
  <si>
    <t xml:space="preserve">2026-04-16 16:44:46</t>
  </si>
  <si>
    <t xml:space="preserve">#8236942023 — SL to BE 1.35298 (profit=15.0pts &gt;= trigger=10pts)</t>
  </si>
  <si>
    <t xml:space="preserve">2026-04-16 16:56:42</t>
  </si>
  <si>
    <t xml:space="preserve">#8237191562 — SL to BE 1.35258 (profit=15.0pts &gt;= trigger=10pts)</t>
  </si>
  <si>
    <t xml:space="preserve">2026-04-16 17:13:37</t>
  </si>
  <si>
    <t xml:space="preserve">#8234874057 — SL to BE 1.17708 (profit=11.0pts &gt;= trigger=10pts)</t>
  </si>
  <si>
    <t xml:space="preserve">1:1 hit #8234874057 — closing 50%</t>
  </si>
  <si>
    <t xml:space="preserve">Moving SL to BE 1.17708 on #8234874057</t>
  </si>
  <si>
    <t xml:space="preserve">#8237402535 — SL to BE 1.35269 (profit=54.0pts &gt;= trigger=10pts)</t>
  </si>
  <si>
    <t xml:space="preserve">2026-04-16 17:20:55</t>
  </si>
  <si>
    <t xml:space="preserve">1:1 hit #8237402535 — closing 50%</t>
  </si>
  <si>
    <t xml:space="preserve">Moving SL to BE 1.35269 on #8237402535</t>
  </si>
  <si>
    <t xml:space="preserve">2026-04-16 17:37:53</t>
  </si>
  <si>
    <t xml:space="preserve">#8237798773 — SL to BE 1.35255 (profit=11.0pts &gt;= trigger=10pts)</t>
  </si>
  <si>
    <t xml:space="preserve">2026-04-16 20:45:00</t>
  </si>
  <si>
    <t xml:space="preserve">Spread 30.0pts &gt; max 30</t>
  </si>
  <si>
    <t xml:space="preserve">2026-04-16 21:00:01</t>
  </si>
  <si>
    <t xml:space="preserve">Spread 35.0pts &gt; max 30</t>
  </si>
  <si>
    <t xml:space="preserve">Spread 65.0pts &gt; max 30</t>
  </si>
  <si>
    <t xml:space="preserve">2026-04-17 07:11:12</t>
  </si>
  <si>
    <t xml:space="preserve">#8238126691 — SL to BE 1.35246 (profit=116.0pts &gt;= trigger=10pts)</t>
  </si>
  <si>
    <t xml:space="preserve">1:1 hit #8238126691 — closing 50%</t>
  </si>
  <si>
    <t xml:space="preserve">Moving SL to BE 1.35246 on #8238126691</t>
  </si>
  <si>
    <t xml:space="preserve">2026-04-17 07:26:11</t>
  </si>
  <si>
    <t xml:space="preserve">#8244936882 — SL to BE 187.67900 (profit=25.0pts &gt;= trigger=10pts)</t>
  </si>
  <si>
    <t xml:space="preserve">1:1 hit #8244936882 — closing 50%</t>
  </si>
  <si>
    <t xml:space="preserve">Moving SL to BE 187.67900 on #8244936882</t>
  </si>
  <si>
    <t xml:space="preserve">2026-04-17 07:34:38</t>
  </si>
  <si>
    <t xml:space="preserve">#8245131950 — SL to BE 187.74400 (profit=14.0pts &gt;= trigger=10pts)</t>
  </si>
  <si>
    <t xml:space="preserve">2026-04-17 07:48:42</t>
  </si>
  <si>
    <t xml:space="preserve">#8245376903 — SL to BE 187.71300 (profit=39.0pts &gt;= trigger=10pts)</t>
  </si>
  <si>
    <t xml:space="preserve">#8246030314 — SL to BE 215.31300 (profit=48.0pts &gt;= trigger=10pts)</t>
  </si>
  <si>
    <t xml:space="preserve">1:1 hit #8246030314 — closing 50%</t>
  </si>
  <si>
    <t xml:space="preserve">Moving SL to BE 215.31300 on #8246030314</t>
  </si>
  <si>
    <t xml:space="preserve">#8246236544 — SL to BE 1.35266 (profit=23.0pts &gt;= trigger=10pts)</t>
  </si>
  <si>
    <t xml:space="preserve">1:1 hit #8246236544 — closing 50%</t>
  </si>
  <si>
    <t xml:space="preserve">Moving SL to BE 1.35266 on #8246236544</t>
  </si>
  <si>
    <t xml:space="preserve">2026-04-17 08:52:19</t>
  </si>
  <si>
    <t xml:space="preserve">#8246287506 — SL to BE 215.32900 (profit=59.0pts &gt;= trigger=10pts)</t>
  </si>
  <si>
    <t xml:space="preserve">1:1 hit #8246287506 — closing 50%</t>
  </si>
  <si>
    <t xml:space="preserve">Moving SL to BE 215.32900 on #8246287506</t>
  </si>
  <si>
    <t xml:space="preserve">2026-04-17 09:01:57</t>
  </si>
  <si>
    <t xml:space="preserve">#8246458963 — SL to BE 1.17925 (profit=33.0pts &gt;= trigger=10pts)</t>
  </si>
  <si>
    <t xml:space="preserve">1:1 hit #8246458963 — closing 50%</t>
  </si>
  <si>
    <t xml:space="preserve">Moving SL to BE 1.17925 on #8246458963</t>
  </si>
  <si>
    <t xml:space="preserve">#8246518932 — SL to BE 1.35319 (profit=51.0pts &gt;= trigger=10pts)</t>
  </si>
  <si>
    <t xml:space="preserve">#8246583617 — SL to BE 215.40700 (profit=18.0pts &gt;= trigger=10pts)</t>
  </si>
  <si>
    <t xml:space="preserve">1:1 hit #8246583617 — closing 50%</t>
  </si>
  <si>
    <t xml:space="preserve">Moving SL to BE 215.40700 on #8246583617</t>
  </si>
  <si>
    <t xml:space="preserve">2026-04-17 09:29:23</t>
  </si>
  <si>
    <t xml:space="preserve">#8246742748 — SL to BE 1.17948 (profit=38.0pts &gt;= trigger=10pts)</t>
  </si>
  <si>
    <t xml:space="preserve">#8247026654 — SL to BE 1.17979 (profit=11.0pts &gt;= trigger=10pts)</t>
  </si>
  <si>
    <t xml:space="preserve">1:1 hit #8246518932 — closing 50%</t>
  </si>
  <si>
    <t xml:space="preserve">Moving SL to BE 1.35319 on #8246518932</t>
  </si>
  <si>
    <t xml:space="preserve">2026-04-17 09:29:24</t>
  </si>
  <si>
    <t xml:space="preserve">#8245602001 — SL to BE 187.75200 (profit=13.0pts &gt;= trigger=10pts)</t>
  </si>
  <si>
    <t xml:space="preserve">1:1 hit #8245602001 — closing 50%</t>
  </si>
  <si>
    <t xml:space="preserve">Moving SL to BE 187.75200 on #8245602001</t>
  </si>
  <si>
    <t xml:space="preserve">2026-04-17 09:34:24</t>
  </si>
  <si>
    <t xml:space="preserve">1:1 hit #8246742748 — closing 50%</t>
  </si>
  <si>
    <t xml:space="preserve">Moving SL to BE 1.17948 on #8246742748</t>
  </si>
  <si>
    <t xml:space="preserve">2026-04-17 10:16:54</t>
  </si>
  <si>
    <t xml:space="preserve">#8247259001 — SL to BE 1.35347 (profit=17.0pts &gt;= trigger=10pts)</t>
  </si>
  <si>
    <t xml:space="preserve">2026-04-17 10:46:57</t>
  </si>
  <si>
    <t xml:space="preserve">Asking DeepSeek about #8247218795 BUY (+0pts, peak 0pts)</t>
  </si>
  <si>
    <t xml:space="preserve">2026-04-17 10:52:26</t>
  </si>
  <si>
    <t xml:space="preserve">#8247218795 holding (json) — short reason</t>
  </si>
  <si>
    <t xml:space="preserve">2026-04-17 11:02:01</t>
  </si>
  <si>
    <t xml:space="preserve">Asking DeepSeek about #8247218795 BUY (-1pts, peak 0pts)</t>
  </si>
  <si>
    <t xml:space="preserve">2026-04-17 11:07:39</t>
  </si>
  <si>
    <t xml:space="preserve">#8248283732 — SL to BE 215.22800 (profit=21.0pts &gt;= trigger=10pts)</t>
  </si>
  <si>
    <t xml:space="preserve">1:1 hit #8248283732 — closing 50%</t>
  </si>
  <si>
    <t xml:space="preserve">Moving SL to BE 215.22800 on #8248283732</t>
  </si>
  <si>
    <t xml:space="preserve">2026-04-17 11:16:43</t>
  </si>
  <si>
    <t xml:space="preserve">#8247218795 — SL to BE 1.17956 (profit=23.0pts &gt;= trigger=10pts)</t>
  </si>
  <si>
    <t xml:space="preserve">1:1 hit #8247218795 — closing 50%</t>
  </si>
  <si>
    <t xml:space="preserve">Moving SL to BE 1.17956 on #8247218795</t>
  </si>
  <si>
    <t xml:space="preserve">#8248487100 — SL to BE 215.27400 (profit=39.0pts &gt;= trigger=10pts)</t>
  </si>
  <si>
    <t xml:space="preserve">1:1 hit #8248487100 — closing 50%</t>
  </si>
  <si>
    <t xml:space="preserve">Moving SL to BE 215.27400 on #8248487100</t>
  </si>
  <si>
    <t xml:space="preserve">2026-04-17 11:30:29</t>
  </si>
  <si>
    <t xml:space="preserve">#8248595430 — SL to BE 215.32100 (profit=14.0pts &gt;= trigger=10pts)</t>
  </si>
  <si>
    <t xml:space="preserve">2026-04-17 11:35:30</t>
  </si>
  <si>
    <t xml:space="preserve">Asking DeepSeek about #8248487100 BUY (+63pts, peak 63pts)</t>
  </si>
  <si>
    <t xml:space="preserve">2026-04-17 11:39:29</t>
  </si>
  <si>
    <t xml:space="preserve">#8248487100 holding (json) — short reason</t>
  </si>
  <si>
    <t xml:space="preserve">Asking DeepSeek about #8248487100 BUY (+90pts, peak 90pts)</t>
  </si>
  <si>
    <t xml:space="preserve">2026-04-17 11:44:16</t>
  </si>
  <si>
    <t xml:space="preserve">#8248487100 holding (json) — hold</t>
  </si>
  <si>
    <t xml:space="preserve">2026-04-17 11:53:20</t>
  </si>
  <si>
    <t xml:space="preserve">Asking DeepSeek about #8248487100 BUY (+169pts, peak 169pts)</t>
  </si>
  <si>
    <t xml:space="preserve">2026-04-17 11:58:41</t>
  </si>
  <si>
    <t xml:space="preserve">#8248487100 holding (json) — Given the current market conditions and the absence of fresh structure, holding </t>
  </si>
  <si>
    <t xml:space="preserve">Asking DeepSeek about #8248487100 BUY (+66pts, peak 169pts)</t>
  </si>
  <si>
    <t xml:space="preserve">2026-04-17 12:12:49</t>
  </si>
  <si>
    <t xml:space="preserve">#8248487100 holding (json) — </t>
  </si>
  <si>
    <t xml:space="preserve">Asking DeepSeek about #8249147484 BUY (-115pts, peak 0pts)</t>
  </si>
  <si>
    <t xml:space="preserve">2026-04-17 12:16:53</t>
  </si>
  <si>
    <t xml:space="preserve">#8249147484 holding (json) — short reason</t>
  </si>
  <si>
    <t xml:space="preserve">Asking DeepSeek about #8248487100 BUY (+29pts, peak 169pts)</t>
  </si>
  <si>
    <t xml:space="preserve">2026-04-17 12:30:06</t>
  </si>
  <si>
    <t xml:space="preserve">Asking DeepSeek about #8249147484 BUY (-123pts, peak 0pts)</t>
  </si>
  <si>
    <t xml:space="preserve">2026-04-17 12:35:17</t>
  </si>
  <si>
    <t xml:space="preserve">Asking DeepSeek about #8249147484 BUY (-189pts, peak 0pts)</t>
  </si>
  <si>
    <t xml:space="preserve">2026-04-17 12:48:15</t>
  </si>
  <si>
    <t xml:space="preserve">2026-04-17 13:06:35</t>
  </si>
  <si>
    <t xml:space="preserve">#8250827067 — SL to BE 1.18339 (profit=108.0pts &gt;= trigger=10pts)</t>
  </si>
  <si>
    <t xml:space="preserve">1:1 hit #8250827067 — closing 50%</t>
  </si>
  <si>
    <t xml:space="preserve">Moving SL to BE 1.18339 on #8250827067</t>
  </si>
  <si>
    <t xml:space="preserve">#8250981018 — SL to BE 1.35801 (profit=184.0pts &gt;= trigger=10pts)</t>
  </si>
  <si>
    <t xml:space="preserve">2026-04-17 13:11:04</t>
  </si>
  <si>
    <t xml:space="preserve">1:1 hit #8250981018 — closing 50%</t>
  </si>
  <si>
    <t xml:space="preserve">Moving SL to BE 1.35801 on #8250981018</t>
  </si>
  <si>
    <t xml:space="preserve">#8253113521 — SL to BE 214.70500 (profit=153.0pts &gt;= trigger=10pts)</t>
  </si>
  <si>
    <t xml:space="preserve">1:1 hit #8253113521 — closing 50%</t>
  </si>
  <si>
    <t xml:space="preserve">2026-04-17 14:08:58</t>
  </si>
  <si>
    <t xml:space="preserve">Moving SL to BE 214.70500 on #8253113521</t>
  </si>
  <si>
    <t xml:space="preserve">#8253589183 — SL to BE 186.93000 (profit=163.0pts &gt;= trigger=10pts)</t>
  </si>
  <si>
    <t xml:space="preserve">2026-04-17 14:21:16</t>
  </si>
  <si>
    <t xml:space="preserve">1:1 hit #8253589183 — closing 50%</t>
  </si>
  <si>
    <t xml:space="preserve">2026-04-17 14:21:17</t>
  </si>
  <si>
    <t xml:space="preserve">Moving SL to BE 186.93000 on #8253589183</t>
  </si>
  <si>
    <t xml:space="preserve">#8253673165 — SL to BE 214.56100 (profit=31.0pts &gt;= trigger=10pts)</t>
  </si>
  <si>
    <t xml:space="preserve">2026-04-17 14:30:00</t>
  </si>
  <si>
    <t xml:space="preserve">#8253918774 — SL to BE 1.18254 (profit=23.0pts &gt;= trigger=10pts)</t>
  </si>
  <si>
    <t xml:space="preserve">2026-04-17 14:30:01</t>
  </si>
  <si>
    <t xml:space="preserve">1:1 hit #8253918774 — closing 50%</t>
  </si>
  <si>
    <t xml:space="preserve">2026-04-17 14:30:02</t>
  </si>
  <si>
    <t xml:space="preserve">Moving SL to BE 1.18254 on #8253918774</t>
  </si>
  <si>
    <t xml:space="preserve">#8254015849 — SL to BE 186.78500 (profit=125.0pts &gt;= trigger=10pts)</t>
  </si>
  <si>
    <t xml:space="preserve">2026-04-17 14:34:20</t>
  </si>
  <si>
    <t xml:space="preserve">1:1 hit #8253673165 — closing 50%</t>
  </si>
  <si>
    <t xml:space="preserve">Moving SL to BE 214.56100 on #8253673165</t>
  </si>
  <si>
    <t xml:space="preserve">Preflight Block Breakdown</t>
  </si>
  <si>
    <t xml:space="preserve">Reason pattern</t>
  </si>
  <si>
    <t xml:space="preserve">Spread Npts &gt; max N</t>
  </si>
  <si>
    <t xml:space="preserve">Closed Trades (ai_pro_trade_log.json)</t>
  </si>
  <si>
    <t xml:space="preserve">Exit</t>
  </si>
  <si>
    <t xml:space="preserve">Volume</t>
  </si>
  <si>
    <t xml:space="preserve">Outcome</t>
  </si>
  <si>
    <t xml:space="preserve">AI Reason</t>
  </si>
  <si>
    <t xml:space="preserve">2026-04-15 13:57:28</t>
  </si>
  <si>
    <t xml:space="preserve">strategy_exit</t>
  </si>
  <si>
    <t xml:space="preserve">LOSS</t>
  </si>
  <si>
    <t xml:space="preserve">Analysis Notes &amp; Caveats</t>
  </si>
  <si>
    <t xml:space="preserve">Data sources:</t>
  </si>
  <si>
    <t xml:space="preserve">  • ai_thoughts.jsonl  — event log of signals, AI reviews, verdicts, executions, monitor ticks and risk events</t>
  </si>
  <si>
    <t xml:space="preserve">  • ai_pro_trade_log.json — closed trades (only 1 record present)</t>
  </si>
  <si>
    <t xml:space="preserve">Why the P&amp;L is reconstructed:</t>
  </si>
  <si>
    <t xml:space="preserve">  • Only 1 closed trade is in ai_pro_trade_log.json, so realised P&amp;L cannot be directly computed.</t>
  </si>
  <si>
    <t xml:space="preserve">  • Per-order outcomes are reconstructed from monitor ticks, breakeven events and partial-close triggers.</t>
  </si>
  <si>
    <t xml:space="preserve">  • Results are expressed in R (multiples of the initial stop distance) for cross-symbol comparability.</t>
  </si>
  <si>
    <t xml:space="preserve">Estimation rules (Est. R per order):</t>
  </si>
  <si>
    <t xml:space="preserve">  • PARTIAL+BE: 0.5R from the 1R partial on 50% of size, plus 0.5 × max(0, last_pts/SL_pts) on the runner.</t>
  </si>
  <si>
    <t xml:space="preserve">    Conservative: the runner is assumed worth 0R unless still showing unrealised profit.</t>
  </si>
  <si>
    <t xml:space="preserve">  • BE_ONLY: 0R. SL had been moved to BE before any partial; treated as break-even exit.</t>
  </si>
  <si>
    <t xml:space="preserve">  • SL_OR_RUNNER: last monitored pts ÷ SL pts, capped at −1R (SL should have been honoured).</t>
  </si>
  <si>
    <t xml:space="preserve">  • AI_CLOSE: last_pts ÷ SL_pts, capped at +10R / −1R.</t>
  </si>
  <si>
    <t xml:space="preserve">  • OPEN: same capping as SL_OR_RUNNER.</t>
  </si>
  <si>
    <t xml:space="preserve">Risk-automation concern (winners cut, losers ran):</t>
  </si>
  <si>
    <t xml:space="preserve">  • 35/65 orders (54%) hit the 1R partial and were set to BE. Of those, many never peaked near the full 2R+ TP,</t>
  </si>
  <si>
    <t xml:space="preserve">    so the partial was justified — but the remaining 50% rarely pushed through to TP. This caps realistic upside ~1R.</t>
  </si>
  <si>
    <t xml:space="preserve">  • 15/65 orders had SL moved to BE without a partial first, effectively zeroing out those setups.</t>
  </si>
  <si>
    <t xml:space="preserve">  • 15/65 orders never got any BE protection. 12 of those 15 ended with last-seen loss &gt;1.5× SL distance,</t>
  </si>
  <si>
    <t xml:space="preserve">    meaning either the hard stop did not fire or they are still open running in the red.</t>
  </si>
  <si>
    <t xml:space="preserve">  • Net effect: upside concentrated around +0.5R (partial) while losers exceeded -1R on tail risk.</t>
  </si>
  <si>
    <t xml:space="preserve">Spread cap (update from user):</t>
  </si>
  <si>
    <t xml:space="preserve">  • The 27 preflight blocks for 'Spread &gt; 30 pts' are from a filter that has since been removed.</t>
  </si>
  <si>
    <t xml:space="preserve">  • Forward-looking analyses should assume no preflight spread cap — those signals will now execute.</t>
  </si>
  <si>
    <t xml:space="preserve">Caveats:</t>
  </si>
  <si>
    <t xml:space="preserve">  • Monitor ticks do not always cover a trade's final disposition — some positions are still open at log cutoff.</t>
  </si>
  <si>
    <t xml:space="preserve">  • Peak observed may understate true peak because monitoring is periodic (every ~5-15 minutes).</t>
  </si>
  <si>
    <t xml:space="preserve">  • Signal-to-order matching uses a 30-minute window on same symbol+side; a few orders may be mis-attributed.</t>
  </si>
  <si>
    <t xml:space="preserve">  • 'BUY signals with AI=AI verified' label in the signal line is the strategy engine's own pre-check, not the</t>
  </si>
  <si>
    <t xml:space="preserve">    DeepSeek-R1 verdict (which is recorded in Review/Verdict stages).</t>
  </si>
  <si>
    <t xml:space="preserve">How to read the R metrics:</t>
  </si>
  <si>
    <t xml:space="preserve">  • Profit factor &lt;1.0 means the reconstructed book is losing money. Consider raising partial from 1R to 1.5R</t>
  </si>
  <si>
    <t xml:space="preserve">    or only trailing on the second half, so winners can run while losers still cap at -1R.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</si>
</sst>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0.00"/>
    <numFmt numFmtId="167" formatCode="\$#,##0.00;&quot;($&quot;#,##0.00\);\-"/>
    <numFmt numFmtId="168" formatCode="0%"/>
    <numFmt numFmtId="169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9F9F9"/>
      </patternFill>
    </fill>
    <fill>
      <patternFill patternType="solid">
        <fgColor rgb="FFFADBD8"/>
        <bgColor rgb="FFD9D9D9"/>
      </patternFill>
    </fill>
    <fill>
      <patternFill patternType="solid">
        <fgColor rgb="FFE2EFDA"/>
        <bgColor rgb="FFF2F2F2"/>
      </patternFill>
    </fill>
    <fill>
      <patternFill patternType="solid">
        <fgColor rgb="FFFFE699"/>
        <bgColor rgb="FFFADBD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3A9CE"/>
      <rgbColor rgb="FFC0504D"/>
      <rgbColor rgb="FFF9F9F9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CC"/>
      <rgbColor rgb="FFCC99FF"/>
      <rgbColor rgb="FFFADBD8"/>
      <rgbColor rgb="FF4672A8"/>
      <rgbColor rgb="FF33CCCC"/>
      <rgbColor rgb="FF9BBB59"/>
      <rgbColor rgb="FFFFCC00"/>
      <rgbColor rgb="FFFF9900"/>
      <rgbColor rgb="FFFF6600"/>
      <rgbColor rgb="FF8064A2"/>
      <rgbColor rgb="FF969696"/>
      <rgbColor rgb="FF003366"/>
      <rgbColor rgb="FF4F81BD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Signal -&gt; Trade funnel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'Funnel Chart'!B3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'Funnel Chart'!$A$4:$A$11</c:f>
              <c:strCache>
                <c:ptCount val="8"/>
                <c:pt idx="0">
                  <c:v>Actionable signals (BUY/SELL)</c:v>
                </c:pt>
                <c:pt idx="1">
                  <c:v>Sent to AI review (DeepSeek-R1)</c:v>
                </c:pt>
                <c:pt idx="2">
                  <c:v>AI verdicts issued</c:v>
                </c:pt>
                <c:pt idx="3">
                  <c:v>AI approved</c:v>
                </c:pt>
                <c:pt idx="4">
                  <c:v>AI rejected</c:v>
                </c:pt>
                <c:pt idx="5">
                  <c:v>Preflight blocks (spread/etc.)</c:v>
                </c:pt>
                <c:pt idx="6">
                  <c:v>Orders placed (executions)</c:v>
                </c:pt>
                <c:pt idx="7">
                  <c:v>Trades logged as closed</c:v>
                </c:pt>
              </c:strCache>
            </c:strRef>
          </c:cat>
          <c:val>
            <c:numRef>
              <c:f>'Funnel Chart'!$B$4:$B$11</c:f>
              <c:numCache>
                <c:formatCode>General</c:formatCode>
                <c:ptCount val="8"/>
                <c:pt idx="0">
                  <c:v>107</c:v>
                </c:pt>
                <c:pt idx="1">
                  <c:v>141</c:v>
                </c:pt>
                <c:pt idx="2">
                  <c:v>68</c:v>
                </c:pt>
                <c:pt idx="3">
                  <c:v>65</c:v>
                </c:pt>
                <c:pt idx="4">
                  <c:v>3</c:v>
                </c:pt>
                <c:pt idx="5">
                  <c:v>27</c:v>
                </c:pt>
                <c:pt idx="6">
                  <c:v>65</c:v>
                </c:pt>
                <c:pt idx="7">
                  <c:v>1</c:v>
                </c:pt>
              </c:numCache>
            </c:numRef>
          </c:val>
        </c:ser>
        <c:gapWidth val="150"/>
        <c:overlap val="0"/>
        <c:axId val="53336234"/>
        <c:axId val="58968654"/>
      </c:barChart>
      <c:catAx>
        <c:axId val="53336234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8968654"/>
        <c:crosses val="autoZero"/>
        <c:auto val="1"/>
        <c:lblAlgn val="ctr"/>
        <c:lblOffset val="100"/>
        <c:noMultiLvlLbl val="0"/>
      </c:catAx>
      <c:valAx>
        <c:axId val="589686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Stage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333623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Signals vs Orders by symbol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'By Symbol'!B3</c:f>
              <c:strCache>
                <c:ptCount val="1"/>
                <c:pt idx="0">
                  <c:v>Signals</c:v>
                </c:pt>
              </c:strCache>
            </c:strRef>
          </c:tx>
          <c:spPr>
            <a:solidFill>
              <a:srgbClr val="4672A8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Symbol'!$A$4:$A$7</c:f>
              <c:strCache>
                <c:ptCount val="4"/>
                <c:pt idx="0">
                  <c:v>EURJPY</c:v>
                </c:pt>
                <c:pt idx="1">
                  <c:v>EURUSD</c:v>
                </c:pt>
                <c:pt idx="2">
                  <c:v>GBPJPY</c:v>
                </c:pt>
                <c:pt idx="3">
                  <c:v>GBPUSD</c:v>
                </c:pt>
              </c:strCache>
            </c:strRef>
          </c:cat>
          <c:val>
            <c:numRef>
              <c:f>'By Symbol'!$B$4:$B$7</c:f>
              <c:numCache>
                <c:formatCode>General</c:formatCode>
                <c:ptCount val="4"/>
                <c:pt idx="0">
                  <c:v>7</c:v>
                </c:pt>
                <c:pt idx="1">
                  <c:v>14</c:v>
                </c:pt>
                <c:pt idx="2">
                  <c:v>51</c:v>
                </c:pt>
                <c:pt idx="3">
                  <c:v>35</c:v>
                </c:pt>
              </c:numCache>
            </c:numRef>
          </c:val>
        </c:ser>
        <c:ser>
          <c:idx val="1"/>
          <c:order val="1"/>
          <c:tx>
            <c:strRef>
              <c:f>'By Symbol'!C3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93A9CE"/>
            </a:solidFill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F9F9F9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Symbol'!$A$4:$A$7</c:f>
              <c:strCache>
                <c:ptCount val="4"/>
                <c:pt idx="0">
                  <c:v>EURJPY</c:v>
                </c:pt>
                <c:pt idx="1">
                  <c:v>EURUSD</c:v>
                </c:pt>
                <c:pt idx="2">
                  <c:v>GBPJPY</c:v>
                </c:pt>
                <c:pt idx="3">
                  <c:v>GBPUSD</c:v>
                </c:pt>
              </c:strCache>
            </c:strRef>
          </c:cat>
          <c:val>
            <c:numRef>
              <c:f>'By Symbol'!$C$4:$C$7</c:f>
              <c:numCache>
                <c:formatCode>General</c:formatCode>
                <c:ptCount val="4"/>
                <c:pt idx="0">
                  <c:v>7</c:v>
                </c:pt>
                <c:pt idx="1">
                  <c:v>11</c:v>
                </c:pt>
                <c:pt idx="2">
                  <c:v>18</c:v>
                </c:pt>
                <c:pt idx="3">
                  <c:v>29</c:v>
                </c:pt>
              </c:numCache>
            </c:numRef>
          </c:val>
        </c:ser>
        <c:gapWidth val="150"/>
        <c:overlap val="0"/>
        <c:axId val="30609317"/>
        <c:axId val="80372592"/>
      </c:barChart>
      <c:catAx>
        <c:axId val="306093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Symbol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0372592"/>
        <c:crosses val="autoZero"/>
        <c:auto val="1"/>
        <c:lblAlgn val="ctr"/>
        <c:lblOffset val="100"/>
        <c:noMultiLvlLbl val="0"/>
      </c:catAx>
      <c:valAx>
        <c:axId val="803725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60931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Signal mix by strategy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'By Strategy'!B3</c:f>
              <c:strCache>
                <c:ptCount val="1"/>
                <c:pt idx="0">
                  <c:v>Signals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'By Strategy'!$A$4:$A$7</c:f>
              <c:strCache>
                <c:ptCount val="4"/>
                <c:pt idx="0">
                  <c:v>CHoCH-BUY@PDL</c:v>
                </c:pt>
                <c:pt idx="1">
                  <c:v>CHoCH-SELL@PDH</c:v>
                </c:pt>
                <c:pt idx="2">
                  <c:v>Continuation-BUY@PDH</c:v>
                </c:pt>
                <c:pt idx="3">
                  <c:v>Continuation-SELL@PDL</c:v>
                </c:pt>
              </c:strCache>
            </c:strRef>
          </c:cat>
          <c:val>
            <c:numRef>
              <c:f>'By Strategy'!$B$4:$B$7</c:f>
              <c:numCache>
                <c:formatCode>General</c:formatCode>
                <c:ptCount val="4"/>
                <c:pt idx="0">
                  <c:v>24</c:v>
                </c:pt>
                <c:pt idx="1">
                  <c:v>23</c:v>
                </c:pt>
                <c:pt idx="2">
                  <c:v>26</c:v>
                </c:pt>
                <c:pt idx="3">
                  <c:v>34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</xdr:row>
      <xdr:rowOff>0</xdr:rowOff>
    </xdr:from>
    <xdr:to>
      <xdr:col>15</xdr:col>
      <xdr:colOff>581040</xdr:colOff>
      <xdr:row>24</xdr:row>
      <xdr:rowOff>128160</xdr:rowOff>
    </xdr:to>
    <xdr:graphicFrame>
      <xdr:nvGraphicFramePr>
        <xdr:cNvPr id="1" name="Chart 1"/>
        <xdr:cNvGraphicFramePr/>
      </xdr:nvGraphicFramePr>
      <xdr:xfrm>
        <a:off x="4417560" y="409680"/>
        <a:ext cx="7919280" cy="431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0</xdr:rowOff>
    </xdr:from>
    <xdr:to>
      <xdr:col>20</xdr:col>
      <xdr:colOff>363960</xdr:colOff>
      <xdr:row>20</xdr:row>
      <xdr:rowOff>170280</xdr:rowOff>
    </xdr:to>
    <xdr:graphicFrame>
      <xdr:nvGraphicFramePr>
        <xdr:cNvPr id="2" name="Chart 1"/>
        <xdr:cNvGraphicFramePr/>
      </xdr:nvGraphicFramePr>
      <xdr:xfrm>
        <a:off x="8505720" y="409680"/>
        <a:ext cx="647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14</xdr:col>
      <xdr:colOff>147240</xdr:colOff>
      <xdr:row>20</xdr:row>
      <xdr:rowOff>170280</xdr:rowOff>
    </xdr:to>
    <xdr:graphicFrame>
      <xdr:nvGraphicFramePr>
        <xdr:cNvPr id="3" name="Chart 1"/>
        <xdr:cNvGraphicFramePr/>
      </xdr:nvGraphicFramePr>
      <xdr:xfrm>
        <a:off x="6532200" y="409680"/>
        <a:ext cx="503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18"/>
    <col collapsed="false" customWidth="true" hidden="false" outlineLevel="0" max="3" min="3" style="1" width="52"/>
    <col collapsed="false" customWidth="true" hidden="false" outlineLevel="0" max="6" min="4" style="1" width="16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2</v>
      </c>
      <c r="B4" s="4"/>
      <c r="C4" s="4"/>
      <c r="D4" s="4"/>
      <c r="E4" s="4"/>
      <c r="F4" s="4"/>
    </row>
    <row r="6" customFormat="false" ht="15" hidden="false" customHeight="true" outlineLevel="0" collapsed="false">
      <c r="A6" s="5" t="s">
        <v>3</v>
      </c>
      <c r="B6" s="5" t="s">
        <v>4</v>
      </c>
      <c r="C6" s="5" t="s">
        <v>5</v>
      </c>
    </row>
    <row r="7" customFormat="false" ht="15" hidden="false" customHeight="true" outlineLevel="0" collapsed="false">
      <c r="A7" s="6" t="s">
        <v>6</v>
      </c>
      <c r="B7" s="6" t="n">
        <v>107</v>
      </c>
      <c r="C7" s="7" t="n">
        <f aca="false">B7/B7</f>
        <v>1</v>
      </c>
    </row>
    <row r="8" customFormat="false" ht="15" hidden="false" customHeight="true" outlineLevel="0" collapsed="false">
      <c r="A8" s="8" t="s">
        <v>7</v>
      </c>
      <c r="B8" s="8" t="n">
        <v>141</v>
      </c>
      <c r="C8" s="9" t="n">
        <f aca="false">B8/B7</f>
        <v>1.31775700934579</v>
      </c>
    </row>
    <row r="9" customFormat="false" ht="15" hidden="false" customHeight="true" outlineLevel="0" collapsed="false">
      <c r="A9" s="6" t="s">
        <v>8</v>
      </c>
      <c r="B9" s="6" t="n">
        <v>68</v>
      </c>
      <c r="C9" s="7" t="n">
        <f aca="false">B9/B7</f>
        <v>0.635514018691589</v>
      </c>
    </row>
    <row r="10" customFormat="false" ht="15" hidden="false" customHeight="true" outlineLevel="0" collapsed="false">
      <c r="A10" s="8" t="s">
        <v>9</v>
      </c>
      <c r="B10" s="8" t="n">
        <v>65</v>
      </c>
      <c r="C10" s="9" t="n">
        <f aca="false">B10/B7</f>
        <v>0.607476635514019</v>
      </c>
    </row>
    <row r="11" customFormat="false" ht="15" hidden="false" customHeight="true" outlineLevel="0" collapsed="false">
      <c r="A11" s="6" t="s">
        <v>10</v>
      </c>
      <c r="B11" s="6" t="n">
        <v>3</v>
      </c>
      <c r="C11" s="7" t="n">
        <f aca="false">B11/B7</f>
        <v>0.0280373831775701</v>
      </c>
    </row>
    <row r="12" customFormat="false" ht="15" hidden="false" customHeight="true" outlineLevel="0" collapsed="false">
      <c r="A12" s="8" t="s">
        <v>11</v>
      </c>
      <c r="B12" s="8" t="n">
        <v>27</v>
      </c>
      <c r="C12" s="9" t="n">
        <f aca="false">B12/B7</f>
        <v>0.252336448598131</v>
      </c>
    </row>
    <row r="13" customFormat="false" ht="15" hidden="false" customHeight="true" outlineLevel="0" collapsed="false">
      <c r="A13" s="6" t="s">
        <v>12</v>
      </c>
      <c r="B13" s="6" t="n">
        <v>65</v>
      </c>
      <c r="C13" s="7" t="n">
        <f aca="false">B13/B7</f>
        <v>0.607476635514019</v>
      </c>
    </row>
    <row r="14" customFormat="false" ht="15" hidden="false" customHeight="true" outlineLevel="0" collapsed="false">
      <c r="A14" s="8" t="s">
        <v>13</v>
      </c>
      <c r="B14" s="8" t="n">
        <v>1</v>
      </c>
      <c r="C14" s="9" t="n">
        <f aca="false">B14/B7</f>
        <v>0.00934579439252336</v>
      </c>
    </row>
    <row r="16" customFormat="false" ht="15" hidden="false" customHeight="true" outlineLevel="0" collapsed="false">
      <c r="A16" s="4" t="s">
        <v>14</v>
      </c>
      <c r="B16" s="4"/>
      <c r="C16" s="4"/>
    </row>
    <row r="17" customFormat="false" ht="15" hidden="false" customHeight="true" outlineLevel="0" collapsed="false">
      <c r="A17" s="5" t="s">
        <v>15</v>
      </c>
      <c r="B17" s="5" t="s">
        <v>16</v>
      </c>
      <c r="C17" s="5" t="s">
        <v>17</v>
      </c>
    </row>
    <row r="18" customFormat="false" ht="15" hidden="false" customHeight="true" outlineLevel="0" collapsed="false">
      <c r="A18" s="6" t="s">
        <v>18</v>
      </c>
      <c r="B18" s="6" t="n">
        <v>79</v>
      </c>
      <c r="C18" s="6" t="s">
        <v>19</v>
      </c>
    </row>
    <row r="19" customFormat="false" ht="15" hidden="false" customHeight="true" outlineLevel="0" collapsed="false">
      <c r="A19" s="8" t="s">
        <v>20</v>
      </c>
      <c r="B19" s="9" t="n">
        <v>0.807943925233644</v>
      </c>
      <c r="C19" s="8" t="s">
        <v>21</v>
      </c>
    </row>
    <row r="20" customFormat="false" ht="15" hidden="false" customHeight="true" outlineLevel="0" collapsed="false">
      <c r="A20" s="6" t="s">
        <v>22</v>
      </c>
      <c r="B20" s="7" t="n">
        <v>0.97196261682243</v>
      </c>
      <c r="C20" s="6" t="s">
        <v>23</v>
      </c>
    </row>
    <row r="21" customFormat="false" ht="15" hidden="false" customHeight="true" outlineLevel="0" collapsed="false">
      <c r="A21" s="8" t="s">
        <v>24</v>
      </c>
      <c r="B21" s="9" t="n">
        <v>0.955882352941177</v>
      </c>
      <c r="C21" s="8" t="s">
        <v>25</v>
      </c>
    </row>
    <row r="22" customFormat="false" ht="15" hidden="false" customHeight="true" outlineLevel="0" collapsed="false">
      <c r="A22" s="6" t="s">
        <v>26</v>
      </c>
      <c r="B22" s="7" t="n">
        <v>0.607476635514019</v>
      </c>
      <c r="C22" s="6" t="s">
        <v>27</v>
      </c>
    </row>
    <row r="23" customFormat="false" ht="15" hidden="false" customHeight="true" outlineLevel="0" collapsed="false">
      <c r="A23" s="8" t="s">
        <v>28</v>
      </c>
      <c r="B23" s="10" t="n">
        <v>1.80905145740238</v>
      </c>
      <c r="C23" s="8" t="s">
        <v>29</v>
      </c>
    </row>
    <row r="24" customFormat="false" ht="15" hidden="false" customHeight="true" outlineLevel="0" collapsed="false">
      <c r="A24" s="6" t="s">
        <v>30</v>
      </c>
      <c r="B24" s="6" t="n">
        <v>85</v>
      </c>
      <c r="C24" s="6" t="s">
        <v>31</v>
      </c>
    </row>
    <row r="25" customFormat="false" ht="15" hidden="false" customHeight="true" outlineLevel="0" collapsed="false">
      <c r="A25" s="8" t="s">
        <v>32</v>
      </c>
      <c r="B25" s="8" t="n">
        <v>71</v>
      </c>
      <c r="C25" s="8" t="s">
        <v>33</v>
      </c>
    </row>
    <row r="26" customFormat="false" ht="15" hidden="false" customHeight="true" outlineLevel="0" collapsed="false">
      <c r="A26" s="6" t="s">
        <v>34</v>
      </c>
      <c r="B26" s="6" t="n">
        <v>1</v>
      </c>
      <c r="C26" s="6" t="s">
        <v>35</v>
      </c>
    </row>
    <row r="27" customFormat="false" ht="15" hidden="false" customHeight="true" outlineLevel="0" collapsed="false">
      <c r="A27" s="8" t="s">
        <v>36</v>
      </c>
      <c r="B27" s="8" t="n">
        <v>1</v>
      </c>
      <c r="C27" s="8" t="s">
        <v>37</v>
      </c>
    </row>
    <row r="29" customFormat="false" ht="15" hidden="false" customHeight="true" outlineLevel="0" collapsed="false">
      <c r="A29" s="4" t="s">
        <v>38</v>
      </c>
      <c r="B29" s="4"/>
      <c r="C29" s="4"/>
    </row>
    <row r="30" customFormat="false" ht="15" hidden="false" customHeight="true" outlineLevel="0" collapsed="false">
      <c r="A30" s="5" t="s">
        <v>39</v>
      </c>
      <c r="B30" s="5" t="s">
        <v>40</v>
      </c>
      <c r="C30" s="5" t="s">
        <v>41</v>
      </c>
    </row>
    <row r="31" customFormat="false" ht="15" hidden="false" customHeight="true" outlineLevel="0" collapsed="false">
      <c r="A31" s="6" t="s">
        <v>42</v>
      </c>
      <c r="B31" s="6" t="s">
        <v>43</v>
      </c>
      <c r="C31" s="11" t="n">
        <v>-30.38</v>
      </c>
    </row>
    <row r="32" customFormat="false" ht="15" hidden="false" customHeight="true" outlineLevel="0" collapsed="false">
      <c r="A32" s="6" t="s">
        <v>44</v>
      </c>
      <c r="B32" s="6"/>
      <c r="C32" s="12" t="n">
        <f aca="false">SUM(C31)</f>
        <v>-30.38</v>
      </c>
    </row>
  </sheetData>
  <mergeCells count="5">
    <mergeCell ref="A1:F1"/>
    <mergeCell ref="A2:F2"/>
    <mergeCell ref="A4:F4"/>
    <mergeCell ref="A16:C16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8"/>
    <col collapsed="false" customWidth="true" hidden="false" outlineLevel="0" max="3" min="3" style="0" width="60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3" t="s">
        <v>45</v>
      </c>
      <c r="B1" s="13"/>
      <c r="C1" s="13"/>
      <c r="D1" s="13"/>
      <c r="E1" s="13"/>
      <c r="F1" s="13"/>
      <c r="G1" s="13"/>
      <c r="H1" s="13"/>
    </row>
    <row r="2" customFormat="false" ht="30" hidden="false" customHeight="true" outlineLevel="0" collapsed="false">
      <c r="A2" s="14" t="s">
        <v>46</v>
      </c>
      <c r="B2" s="14"/>
      <c r="C2" s="14"/>
      <c r="D2" s="14"/>
      <c r="E2" s="14"/>
      <c r="F2" s="14"/>
      <c r="G2" s="14"/>
      <c r="H2" s="14"/>
    </row>
    <row r="3" customFormat="false" ht="15" hidden="false" customHeight="false" outlineLevel="0" collapsed="false">
      <c r="A3" s="14"/>
      <c r="B3" s="14"/>
      <c r="C3" s="14"/>
      <c r="D3" s="14"/>
      <c r="E3" s="14"/>
      <c r="F3" s="14"/>
      <c r="G3" s="14"/>
      <c r="H3" s="14"/>
    </row>
    <row r="5" customFormat="false" ht="15" hidden="false" customHeight="false" outlineLevel="0" collapsed="false">
      <c r="A5" s="15" t="s">
        <v>47</v>
      </c>
      <c r="B5" s="15"/>
      <c r="C5" s="15"/>
      <c r="D5" s="15"/>
    </row>
    <row r="7" customFormat="false" ht="15" hidden="false" customHeight="false" outlineLevel="0" collapsed="false">
      <c r="A7" s="5" t="s">
        <v>48</v>
      </c>
      <c r="B7" s="5" t="s">
        <v>4</v>
      </c>
      <c r="C7" s="5" t="s">
        <v>49</v>
      </c>
      <c r="D7" s="5" t="s">
        <v>50</v>
      </c>
    </row>
    <row r="8" customFormat="false" ht="15" hidden="false" customHeight="false" outlineLevel="0" collapsed="false">
      <c r="A8" s="16" t="s">
        <v>51</v>
      </c>
      <c r="B8" s="16" t="n">
        <v>35</v>
      </c>
      <c r="C8" s="17" t="n">
        <v>0.538461538461538</v>
      </c>
      <c r="D8" s="16" t="s">
        <v>52</v>
      </c>
    </row>
    <row r="9" customFormat="false" ht="15" hidden="false" customHeight="false" outlineLevel="0" collapsed="false">
      <c r="A9" s="18" t="s">
        <v>53</v>
      </c>
      <c r="B9" s="18" t="n">
        <v>15</v>
      </c>
      <c r="C9" s="19" t="n">
        <v>0.230769230769231</v>
      </c>
      <c r="D9" s="18" t="s">
        <v>54</v>
      </c>
    </row>
    <row r="10" customFormat="false" ht="15" hidden="false" customHeight="false" outlineLevel="0" collapsed="false">
      <c r="A10" s="16" t="s">
        <v>55</v>
      </c>
      <c r="B10" s="16" t="n">
        <v>11</v>
      </c>
      <c r="C10" s="17" t="n">
        <v>0.169230769230769</v>
      </c>
      <c r="D10" s="16" t="s">
        <v>56</v>
      </c>
    </row>
    <row r="11" customFormat="false" ht="15" hidden="false" customHeight="false" outlineLevel="0" collapsed="false">
      <c r="A11" s="18" t="s">
        <v>57</v>
      </c>
      <c r="B11" s="18" t="n">
        <v>1</v>
      </c>
      <c r="C11" s="19" t="n">
        <v>0.0153846153846154</v>
      </c>
      <c r="D11" s="18" t="s">
        <v>58</v>
      </c>
    </row>
    <row r="12" customFormat="false" ht="15" hidden="false" customHeight="false" outlineLevel="0" collapsed="false">
      <c r="A12" s="16" t="s">
        <v>59</v>
      </c>
      <c r="B12" s="16" t="n">
        <v>3</v>
      </c>
      <c r="C12" s="17" t="n">
        <v>0.0461538461538462</v>
      </c>
      <c r="D12" s="16" t="s">
        <v>60</v>
      </c>
    </row>
    <row r="13" customFormat="false" ht="15" hidden="false" customHeight="false" outlineLevel="0" collapsed="false">
      <c r="A13" s="18" t="s">
        <v>61</v>
      </c>
      <c r="B13" s="18" t="n">
        <f aca="false">SUM(B8:B12)</f>
        <v>65</v>
      </c>
      <c r="C13" s="19" t="n">
        <f aca="false">SUM(C8:C12)</f>
        <v>1</v>
      </c>
      <c r="D13" s="18"/>
    </row>
    <row r="16" customFormat="false" ht="15" hidden="false" customHeight="false" outlineLevel="0" collapsed="false">
      <c r="A16" s="15" t="s">
        <v>62</v>
      </c>
      <c r="B16" s="15"/>
      <c r="C16" s="15"/>
      <c r="D16" s="15"/>
      <c r="E16" s="15"/>
      <c r="F16" s="15"/>
      <c r="G16" s="15"/>
    </row>
    <row r="18" customFormat="false" ht="15" hidden="false" customHeight="false" outlineLevel="0" collapsed="false">
      <c r="A18" s="5" t="s">
        <v>15</v>
      </c>
      <c r="B18" s="5" t="s">
        <v>63</v>
      </c>
      <c r="C18" s="5" t="s">
        <v>17</v>
      </c>
      <c r="D18" s="5" t="s">
        <v>64</v>
      </c>
    </row>
    <row r="19" customFormat="false" ht="15" hidden="false" customHeight="false" outlineLevel="0" collapsed="false">
      <c r="A19" s="16" t="s">
        <v>65</v>
      </c>
      <c r="B19" s="16" t="n">
        <v>65</v>
      </c>
      <c r="C19" s="16"/>
      <c r="D19" s="16" t="n">
        <v>65</v>
      </c>
    </row>
    <row r="20" customFormat="false" ht="15" hidden="false" customHeight="false" outlineLevel="0" collapsed="false">
      <c r="A20" s="18" t="s">
        <v>66</v>
      </c>
      <c r="B20" s="18" t="n">
        <v>35</v>
      </c>
      <c r="C20" s="18"/>
      <c r="D20" s="18" t="n">
        <v>35</v>
      </c>
    </row>
    <row r="21" customFormat="false" ht="15" hidden="false" customHeight="false" outlineLevel="0" collapsed="false">
      <c r="A21" s="16" t="s">
        <v>67</v>
      </c>
      <c r="B21" s="16" t="n">
        <v>13</v>
      </c>
      <c r="C21" s="16"/>
      <c r="D21" s="16" t="n">
        <v>13</v>
      </c>
    </row>
    <row r="22" customFormat="false" ht="15" hidden="false" customHeight="false" outlineLevel="0" collapsed="false">
      <c r="A22" s="18" t="s">
        <v>68</v>
      </c>
      <c r="B22" s="18" t="n">
        <v>17</v>
      </c>
      <c r="C22" s="18" t="s">
        <v>69</v>
      </c>
      <c r="D22" s="18" t="n">
        <v>17</v>
      </c>
    </row>
    <row r="23" customFormat="false" ht="15" hidden="false" customHeight="false" outlineLevel="0" collapsed="false">
      <c r="A23" s="16" t="s">
        <v>70</v>
      </c>
      <c r="B23" s="17" t="n">
        <v>0.538461538461538</v>
      </c>
      <c r="C23" s="16"/>
      <c r="D23" s="17" t="n">
        <v>0.538461538461538</v>
      </c>
    </row>
    <row r="24" customFormat="false" ht="15" hidden="false" customHeight="false" outlineLevel="0" collapsed="false">
      <c r="A24" s="18" t="s">
        <v>71</v>
      </c>
      <c r="B24" s="19" t="n">
        <v>0.2</v>
      </c>
      <c r="C24" s="18"/>
      <c r="D24" s="19" t="n">
        <v>0.2</v>
      </c>
    </row>
    <row r="25" customFormat="false" ht="15" hidden="false" customHeight="false" outlineLevel="0" collapsed="false">
      <c r="A25" s="16" t="s">
        <v>72</v>
      </c>
      <c r="B25" s="17" t="n">
        <v>0.261538461538462</v>
      </c>
      <c r="C25" s="16" t="s">
        <v>73</v>
      </c>
      <c r="D25" s="17" t="n">
        <v>0.261538461538462</v>
      </c>
    </row>
    <row r="26" customFormat="false" ht="15" hidden="false" customHeight="false" outlineLevel="0" collapsed="false">
      <c r="A26" s="18" t="s">
        <v>74</v>
      </c>
      <c r="B26" s="20" t="n">
        <v>1.48391632264295</v>
      </c>
      <c r="C26" s="18" t="s">
        <v>75</v>
      </c>
      <c r="D26" s="20" t="n">
        <v>1.48391632264295</v>
      </c>
    </row>
    <row r="27" customFormat="false" ht="15" hidden="false" customHeight="false" outlineLevel="0" collapsed="false">
      <c r="A27" s="16" t="s">
        <v>76</v>
      </c>
      <c r="B27" s="21" t="n">
        <v>-0.94199243379571</v>
      </c>
      <c r="C27" s="16" t="s">
        <v>77</v>
      </c>
      <c r="D27" s="21" t="n">
        <v>-6.94376043154519</v>
      </c>
    </row>
    <row r="28" customFormat="false" ht="15" hidden="false" customHeight="false" outlineLevel="0" collapsed="false">
      <c r="A28" s="18" t="s">
        <v>78</v>
      </c>
      <c r="B28" s="20" t="n">
        <v>1.57529537330102</v>
      </c>
      <c r="C28" s="18" t="s">
        <v>79</v>
      </c>
      <c r="D28" s="20" t="n">
        <v>0.213704999945214</v>
      </c>
    </row>
    <row r="29" customFormat="false" ht="15" hidden="false" customHeight="false" outlineLevel="0" collapsed="false">
      <c r="A29" s="16" t="s">
        <v>80</v>
      </c>
      <c r="B29" s="21" t="n">
        <v>51.9370712925031</v>
      </c>
      <c r="C29" s="16"/>
      <c r="D29" s="21" t="n">
        <v>51.9370712925031</v>
      </c>
    </row>
    <row r="30" customFormat="false" ht="15" hidden="false" customHeight="false" outlineLevel="0" collapsed="false">
      <c r="A30" s="18" t="s">
        <v>81</v>
      </c>
      <c r="B30" s="20" t="n">
        <v>12.2459016393442</v>
      </c>
      <c r="C30" s="18"/>
      <c r="D30" s="20" t="n">
        <v>90.2688856100875</v>
      </c>
    </row>
    <row r="31" customFormat="false" ht="15" hidden="false" customHeight="false" outlineLevel="0" collapsed="false">
      <c r="A31" s="16" t="s">
        <v>82</v>
      </c>
      <c r="B31" s="22" t="n">
        <v>4.24117985119504</v>
      </c>
      <c r="C31" s="16" t="s">
        <v>83</v>
      </c>
      <c r="D31" s="23" t="n">
        <v>0.575359615237116</v>
      </c>
    </row>
    <row r="32" customFormat="false" ht="15" hidden="false" customHeight="false" outlineLevel="0" collapsed="false">
      <c r="A32" s="18" t="s">
        <v>84</v>
      </c>
      <c r="B32" s="20" t="n">
        <v>0.610633379279367</v>
      </c>
      <c r="C32" s="18"/>
      <c r="D32" s="20" t="n">
        <v>-0.589720220270528</v>
      </c>
    </row>
    <row r="33" customFormat="false" ht="15" hidden="false" customHeight="false" outlineLevel="0" collapsed="false">
      <c r="A33" s="16" t="s">
        <v>85</v>
      </c>
      <c r="B33" s="22" t="n">
        <v>39.6911696531589</v>
      </c>
      <c r="C33" s="16"/>
      <c r="D33" s="23" t="n">
        <v>-38.3318143175843</v>
      </c>
    </row>
    <row r="34" customFormat="false" ht="15" hidden="false" customHeight="false" outlineLevel="0" collapsed="false">
      <c r="A34" s="18" t="s">
        <v>86</v>
      </c>
      <c r="B34" s="20" t="n">
        <v>4.63793103448265</v>
      </c>
      <c r="C34" s="18"/>
      <c r="D34" s="20" t="n">
        <v>4.63793103448265</v>
      </c>
    </row>
    <row r="35" customFormat="false" ht="15" hidden="false" customHeight="false" outlineLevel="0" collapsed="false">
      <c r="A35" s="16" t="s">
        <v>87</v>
      </c>
      <c r="B35" s="21" t="n">
        <v>-1</v>
      </c>
      <c r="C35" s="16" t="s">
        <v>88</v>
      </c>
      <c r="D35" s="21" t="n">
        <v>-10.1621621621627</v>
      </c>
    </row>
    <row r="37" customFormat="false" ht="15" hidden="false" customHeight="false" outlineLevel="0" collapsed="false">
      <c r="A37" s="15" t="s">
        <v>89</v>
      </c>
      <c r="B37" s="15"/>
      <c r="C37" s="15"/>
      <c r="D37" s="15"/>
      <c r="E37" s="15"/>
      <c r="F37" s="15"/>
    </row>
    <row r="38" customFormat="false" ht="15" hidden="false" customHeight="false" outlineLevel="0" collapsed="false">
      <c r="A38" s="5" t="s">
        <v>90</v>
      </c>
      <c r="B38" s="5" t="s">
        <v>4</v>
      </c>
      <c r="C38" s="5" t="s">
        <v>91</v>
      </c>
      <c r="D38" s="5" t="s">
        <v>92</v>
      </c>
    </row>
    <row r="39" customFormat="false" ht="15" hidden="false" customHeight="false" outlineLevel="0" collapsed="false">
      <c r="A39" s="16" t="s">
        <v>93</v>
      </c>
      <c r="B39" s="16" t="n">
        <v>35</v>
      </c>
      <c r="C39" s="16" t="s">
        <v>94</v>
      </c>
      <c r="D39" s="16" t="s">
        <v>95</v>
      </c>
    </row>
    <row r="40" customFormat="false" ht="15" hidden="false" customHeight="false" outlineLevel="0" collapsed="false">
      <c r="A40" s="18" t="s">
        <v>96</v>
      </c>
      <c r="B40" s="18" t="n">
        <v>14</v>
      </c>
      <c r="C40" s="18" t="s">
        <v>97</v>
      </c>
      <c r="D40" s="18" t="s">
        <v>98</v>
      </c>
    </row>
    <row r="41" customFormat="false" ht="15" hidden="false" customHeight="false" outlineLevel="0" collapsed="false">
      <c r="A41" s="16" t="s">
        <v>99</v>
      </c>
      <c r="B41" s="16" t="n">
        <v>21</v>
      </c>
      <c r="C41" s="16" t="s">
        <v>97</v>
      </c>
      <c r="D41" s="16" t="s">
        <v>100</v>
      </c>
    </row>
    <row r="42" customFormat="false" ht="15" hidden="false" customHeight="false" outlineLevel="0" collapsed="false">
      <c r="A42" s="18" t="s">
        <v>101</v>
      </c>
      <c r="B42" s="18" t="n">
        <v>15</v>
      </c>
      <c r="C42" s="18" t="s">
        <v>94</v>
      </c>
      <c r="D42" s="18" t="s">
        <v>102</v>
      </c>
    </row>
    <row r="43" customFormat="false" ht="15" hidden="false" customHeight="false" outlineLevel="0" collapsed="false">
      <c r="A43" s="16" t="s">
        <v>103</v>
      </c>
      <c r="B43" s="16" t="n">
        <v>0</v>
      </c>
      <c r="C43" s="16" t="s">
        <v>104</v>
      </c>
      <c r="D43" s="16" t="s">
        <v>105</v>
      </c>
    </row>
    <row r="44" customFormat="false" ht="15" hidden="false" customHeight="false" outlineLevel="0" collapsed="false">
      <c r="A44" s="18" t="s">
        <v>106</v>
      </c>
      <c r="B44" s="18" t="n">
        <v>15</v>
      </c>
      <c r="C44" s="18" t="s">
        <v>94</v>
      </c>
      <c r="D44" s="18" t="s">
        <v>107</v>
      </c>
    </row>
    <row r="45" customFormat="false" ht="15" hidden="false" customHeight="false" outlineLevel="0" collapsed="false">
      <c r="A45" s="16" t="s">
        <v>108</v>
      </c>
      <c r="B45" s="16" t="n">
        <v>12</v>
      </c>
      <c r="C45" s="16" t="s">
        <v>109</v>
      </c>
      <c r="D45" s="16" t="s">
        <v>110</v>
      </c>
    </row>
    <row r="46" customFormat="false" ht="15" hidden="false" customHeight="false" outlineLevel="0" collapsed="false">
      <c r="A46" s="18" t="s">
        <v>111</v>
      </c>
      <c r="B46" s="18" t="n">
        <v>12</v>
      </c>
      <c r="C46" s="18" t="s">
        <v>109</v>
      </c>
      <c r="D46" s="18" t="s">
        <v>112</v>
      </c>
    </row>
    <row r="48" customFormat="false" ht="15" hidden="false" customHeight="false" outlineLevel="0" collapsed="false">
      <c r="A48" s="15" t="s">
        <v>113</v>
      </c>
      <c r="B48" s="15"/>
      <c r="C48" s="15"/>
      <c r="D48" s="15"/>
      <c r="E48" s="15"/>
      <c r="F48" s="15"/>
      <c r="G48" s="15"/>
    </row>
    <row r="49" customFormat="false" ht="15" hidden="false" customHeight="false" outlineLevel="0" collapsed="false">
      <c r="A49" s="5" t="s">
        <v>114</v>
      </c>
      <c r="B49" s="5" t="s">
        <v>115</v>
      </c>
      <c r="C49" s="5" t="s">
        <v>116</v>
      </c>
      <c r="D49" s="5" t="s">
        <v>117</v>
      </c>
      <c r="E49" s="5" t="s">
        <v>118</v>
      </c>
      <c r="F49" s="5" t="s">
        <v>70</v>
      </c>
      <c r="G49" s="5" t="s">
        <v>119</v>
      </c>
    </row>
    <row r="50" customFormat="false" ht="15" hidden="false" customHeight="false" outlineLevel="0" collapsed="false">
      <c r="A50" s="16" t="s">
        <v>120</v>
      </c>
      <c r="B50" s="16" t="n">
        <v>45</v>
      </c>
      <c r="C50" s="16" t="n">
        <v>26</v>
      </c>
      <c r="D50" s="16" t="n">
        <v>11</v>
      </c>
      <c r="E50" s="16" t="n">
        <v>6</v>
      </c>
      <c r="F50" s="17" t="n">
        <v>0.423076923076923</v>
      </c>
      <c r="G50" s="21" t="n">
        <v>12.8726386456112</v>
      </c>
    </row>
    <row r="51" customFormat="false" ht="15" hidden="false" customHeight="false" outlineLevel="0" collapsed="false">
      <c r="A51" s="18" t="s">
        <v>121</v>
      </c>
      <c r="B51" s="18" t="n">
        <v>0</v>
      </c>
      <c r="C51" s="18" t="n">
        <v>0</v>
      </c>
      <c r="D51" s="18" t="n">
        <v>0</v>
      </c>
      <c r="E51" s="18" t="n">
        <v>0</v>
      </c>
      <c r="F51" s="19" t="n">
        <v>0</v>
      </c>
      <c r="G51" s="20" t="n">
        <v>0</v>
      </c>
    </row>
    <row r="52" customFormat="false" ht="15" hidden="false" customHeight="false" outlineLevel="0" collapsed="false">
      <c r="A52" s="16" t="s">
        <v>122</v>
      </c>
      <c r="B52" s="16" t="n">
        <v>62</v>
      </c>
      <c r="C52" s="16" t="n">
        <v>39</v>
      </c>
      <c r="D52" s="16" t="n">
        <v>24</v>
      </c>
      <c r="E52" s="16" t="n">
        <v>7</v>
      </c>
      <c r="F52" s="17" t="n">
        <v>0.615384615384615</v>
      </c>
      <c r="G52" s="21" t="n">
        <v>26.8185310075477</v>
      </c>
    </row>
    <row r="54" customFormat="false" ht="15" hidden="false" customHeight="false" outlineLevel="0" collapsed="false">
      <c r="A54" s="15" t="s">
        <v>123</v>
      </c>
      <c r="B54" s="15"/>
      <c r="C54" s="15"/>
      <c r="D54" s="15"/>
      <c r="E54" s="15"/>
      <c r="F54" s="15"/>
      <c r="G54" s="15"/>
      <c r="H54" s="15"/>
    </row>
    <row r="55" customFormat="false" ht="15" hidden="false" customHeight="false" outlineLevel="0" collapsed="false">
      <c r="A55" s="5" t="s">
        <v>124</v>
      </c>
      <c r="B55" s="5" t="s">
        <v>115</v>
      </c>
      <c r="C55" s="5" t="s">
        <v>125</v>
      </c>
      <c r="D55" s="5" t="s">
        <v>117</v>
      </c>
      <c r="E55" s="5" t="s">
        <v>118</v>
      </c>
      <c r="F55" s="5" t="s">
        <v>70</v>
      </c>
      <c r="G55" s="5" t="s">
        <v>119</v>
      </c>
      <c r="H55" s="5" t="s">
        <v>126</v>
      </c>
    </row>
    <row r="56" customFormat="false" ht="15" hidden="false" customHeight="false" outlineLevel="0" collapsed="false">
      <c r="A56" s="16" t="s">
        <v>127</v>
      </c>
      <c r="B56" s="16" t="n">
        <v>24</v>
      </c>
      <c r="C56" s="16" t="n">
        <v>21</v>
      </c>
      <c r="D56" s="16" t="n">
        <v>13</v>
      </c>
      <c r="E56" s="16" t="n">
        <v>5</v>
      </c>
      <c r="F56" s="17" t="n">
        <v>0.619047619047619</v>
      </c>
      <c r="G56" s="21" t="n">
        <v>12.4531549942707</v>
      </c>
      <c r="H56" s="21" t="n">
        <v>0.593007380679555</v>
      </c>
    </row>
    <row r="57" customFormat="false" ht="15" hidden="false" customHeight="false" outlineLevel="0" collapsed="false">
      <c r="A57" s="18" t="s">
        <v>128</v>
      </c>
      <c r="B57" s="18" t="n">
        <v>23</v>
      </c>
      <c r="C57" s="18" t="n">
        <v>3</v>
      </c>
      <c r="D57" s="18" t="n">
        <v>2</v>
      </c>
      <c r="E57" s="18" t="n">
        <v>0</v>
      </c>
      <c r="F57" s="19" t="n">
        <v>0.666666666666667</v>
      </c>
      <c r="G57" s="20" t="n">
        <v>4.40469146472525</v>
      </c>
      <c r="H57" s="20" t="n">
        <v>1.46823048824175</v>
      </c>
    </row>
    <row r="58" customFormat="false" ht="15" hidden="false" customHeight="false" outlineLevel="0" collapsed="false">
      <c r="A58" s="16" t="s">
        <v>129</v>
      </c>
      <c r="B58" s="16" t="n">
        <v>26</v>
      </c>
      <c r="C58" s="16" t="n">
        <v>13</v>
      </c>
      <c r="D58" s="16" t="n">
        <v>5</v>
      </c>
      <c r="E58" s="16" t="n">
        <v>4</v>
      </c>
      <c r="F58" s="17" t="n">
        <v>0.384615384615385</v>
      </c>
      <c r="G58" s="21" t="n">
        <v>4.03056133980201</v>
      </c>
      <c r="H58" s="21" t="n">
        <v>0.31004317998477</v>
      </c>
    </row>
    <row r="59" customFormat="false" ht="15" hidden="false" customHeight="false" outlineLevel="0" collapsed="false">
      <c r="A59" s="18" t="s">
        <v>130</v>
      </c>
      <c r="B59" s="18" t="n">
        <v>34</v>
      </c>
      <c r="C59" s="18" t="n">
        <v>28</v>
      </c>
      <c r="D59" s="18" t="n">
        <v>15</v>
      </c>
      <c r="E59" s="18" t="n">
        <v>4</v>
      </c>
      <c r="F59" s="19" t="n">
        <v>0.535714285714286</v>
      </c>
      <c r="G59" s="20" t="n">
        <v>18.802761854361</v>
      </c>
      <c r="H59" s="20" t="n">
        <v>0.67152720908432</v>
      </c>
    </row>
    <row r="61" customFormat="false" ht="15" hidden="false" customHeight="false" outlineLevel="0" collapsed="false">
      <c r="A61" s="15" t="s">
        <v>131</v>
      </c>
      <c r="B61" s="15"/>
      <c r="C61" s="15"/>
      <c r="D61" s="15"/>
      <c r="E61" s="15"/>
      <c r="F61" s="15"/>
      <c r="G61" s="15"/>
      <c r="H61" s="15"/>
    </row>
    <row r="62" customFormat="false" ht="15" hidden="false" customHeight="false" outlineLevel="0" collapsed="false">
      <c r="A62" s="5" t="s">
        <v>39</v>
      </c>
      <c r="B62" s="5" t="s">
        <v>125</v>
      </c>
      <c r="C62" s="5" t="s">
        <v>117</v>
      </c>
      <c r="D62" s="5" t="s">
        <v>118</v>
      </c>
      <c r="E62" s="5" t="s">
        <v>132</v>
      </c>
      <c r="F62" s="5" t="s">
        <v>70</v>
      </c>
      <c r="G62" s="5" t="s">
        <v>82</v>
      </c>
      <c r="H62" s="5" t="s">
        <v>119</v>
      </c>
    </row>
    <row r="63" customFormat="false" ht="15" hidden="false" customHeight="false" outlineLevel="0" collapsed="false">
      <c r="A63" s="16" t="s">
        <v>42</v>
      </c>
      <c r="B63" s="16" t="n">
        <v>7</v>
      </c>
      <c r="C63" s="16" t="n">
        <v>3</v>
      </c>
      <c r="D63" s="16" t="n">
        <v>1</v>
      </c>
      <c r="E63" s="16" t="n">
        <v>3</v>
      </c>
      <c r="F63" s="17" t="n">
        <v>0.428571428571429</v>
      </c>
      <c r="G63" s="21" t="n">
        <v>28.6470306729789</v>
      </c>
      <c r="H63" s="21" t="n">
        <v>6.79845016548582</v>
      </c>
    </row>
    <row r="64" customFormat="false" ht="15" hidden="false" customHeight="false" outlineLevel="0" collapsed="false">
      <c r="A64" s="18" t="s">
        <v>133</v>
      </c>
      <c r="B64" s="18" t="n">
        <v>11</v>
      </c>
      <c r="C64" s="18" t="n">
        <v>6</v>
      </c>
      <c r="D64" s="18" t="n">
        <v>3</v>
      </c>
      <c r="E64" s="18" t="n">
        <v>2</v>
      </c>
      <c r="F64" s="19" t="n">
        <v>0.545454545454545</v>
      </c>
      <c r="G64" s="20" t="n">
        <v>2.82516127176051</v>
      </c>
      <c r="H64" s="20" t="n">
        <v>5.47548381528154</v>
      </c>
    </row>
    <row r="65" customFormat="false" ht="15" hidden="false" customHeight="false" outlineLevel="0" collapsed="false">
      <c r="A65" s="16" t="s">
        <v>134</v>
      </c>
      <c r="B65" s="16" t="n">
        <v>18</v>
      </c>
      <c r="C65" s="16" t="n">
        <v>11</v>
      </c>
      <c r="D65" s="16" t="n">
        <v>5</v>
      </c>
      <c r="E65" s="16" t="n">
        <v>2</v>
      </c>
      <c r="F65" s="17" t="n">
        <v>0.611111111111111</v>
      </c>
      <c r="G65" s="21" t="n">
        <v>3.38127332124184</v>
      </c>
      <c r="H65" s="21" t="n">
        <v>11.9063666062092</v>
      </c>
    </row>
    <row r="66" customFormat="false" ht="15" hidden="false" customHeight="false" outlineLevel="0" collapsed="false">
      <c r="A66" s="18" t="s">
        <v>135</v>
      </c>
      <c r="B66" s="18" t="n">
        <v>29</v>
      </c>
      <c r="C66" s="18" t="n">
        <v>15</v>
      </c>
      <c r="D66" s="18" t="n">
        <v>4</v>
      </c>
      <c r="E66" s="18" t="n">
        <v>10</v>
      </c>
      <c r="F66" s="19" t="n">
        <v>0.517241379310345</v>
      </c>
      <c r="G66" s="20" t="n">
        <v>4.87771726654558</v>
      </c>
      <c r="H66" s="20" t="n">
        <v>15.5108690661823</v>
      </c>
    </row>
  </sheetData>
  <mergeCells count="8">
    <mergeCell ref="A1:H1"/>
    <mergeCell ref="A2:H3"/>
    <mergeCell ref="A5:D5"/>
    <mergeCell ref="A16:G16"/>
    <mergeCell ref="A37:F37"/>
    <mergeCell ref="A48:G48"/>
    <mergeCell ref="A54:H54"/>
    <mergeCell ref="A61:H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6"/>
    <col collapsed="false" customWidth="true" hidden="false" outlineLevel="0" max="7" min="5" style="0" width="12"/>
    <col collapsed="false" customWidth="true" hidden="false" outlineLevel="0" max="9" min="8" style="0" width="10"/>
    <col collapsed="false" customWidth="true" hidden="false" outlineLevel="0" max="10" min="10" style="0" width="8"/>
    <col collapsed="false" customWidth="true" hidden="false" outlineLevel="0" max="13" min="11" style="0" width="10"/>
    <col collapsed="false" customWidth="true" hidden="false" outlineLevel="0" max="14" min="14" style="0" width="6"/>
    <col collapsed="false" customWidth="true" hidden="false" outlineLevel="0" max="15" min="15" style="0" width="8"/>
    <col collapsed="false" customWidth="true" hidden="false" outlineLevel="0" max="16" min="16" style="0" width="10"/>
    <col collapsed="false" customWidth="true" hidden="false" outlineLevel="0" max="17" min="17" style="0" width="16"/>
    <col collapsed="false" customWidth="true" hidden="false" outlineLevel="0" max="19" min="18" style="0" width="10"/>
    <col collapsed="false" customWidth="true" hidden="false" outlineLevel="0" max="20" min="20" style="0" width="26"/>
  </cols>
  <sheetData>
    <row r="1" customFormat="false" ht="17.35" hidden="false" customHeight="false" outlineLevel="0" collapsed="false">
      <c r="A1" s="24" t="s">
        <v>136</v>
      </c>
    </row>
    <row r="3" customFormat="false" ht="15" hidden="false" customHeight="false" outlineLevel="0" collapsed="false">
      <c r="A3" s="5" t="s">
        <v>137</v>
      </c>
      <c r="B3" s="5" t="s">
        <v>39</v>
      </c>
      <c r="C3" s="5" t="s">
        <v>138</v>
      </c>
      <c r="D3" s="5" t="s">
        <v>139</v>
      </c>
      <c r="E3" s="5" t="s">
        <v>140</v>
      </c>
      <c r="F3" s="5" t="s">
        <v>141</v>
      </c>
      <c r="G3" s="5" t="s">
        <v>142</v>
      </c>
      <c r="H3" s="5" t="s">
        <v>143</v>
      </c>
      <c r="I3" s="5" t="s">
        <v>144</v>
      </c>
      <c r="J3" s="5" t="s">
        <v>145</v>
      </c>
      <c r="K3" s="5" t="s">
        <v>146</v>
      </c>
      <c r="L3" s="5" t="s">
        <v>147</v>
      </c>
      <c r="M3" s="5" t="s">
        <v>148</v>
      </c>
      <c r="N3" s="5" t="s">
        <v>149</v>
      </c>
      <c r="O3" s="5" t="s">
        <v>150</v>
      </c>
      <c r="P3" s="5" t="s">
        <v>151</v>
      </c>
      <c r="Q3" s="5" t="s">
        <v>48</v>
      </c>
      <c r="R3" s="5" t="s">
        <v>152</v>
      </c>
      <c r="S3" s="5" t="s">
        <v>153</v>
      </c>
      <c r="T3" s="5" t="s">
        <v>124</v>
      </c>
    </row>
    <row r="4" customFormat="false" ht="15" hidden="false" customHeight="false" outlineLevel="0" collapsed="false">
      <c r="A4" s="16" t="s">
        <v>154</v>
      </c>
      <c r="B4" s="16" t="s">
        <v>134</v>
      </c>
      <c r="C4" s="16" t="s">
        <v>155</v>
      </c>
      <c r="D4" s="16" t="s">
        <v>43</v>
      </c>
      <c r="E4" s="16" t="n">
        <v>215.588</v>
      </c>
      <c r="F4" s="16" t="n">
        <v>215.399</v>
      </c>
      <c r="G4" s="16" t="n">
        <v>215.9</v>
      </c>
      <c r="H4" s="16" t="n">
        <v>18.9</v>
      </c>
      <c r="I4" s="16" t="n">
        <v>31.2</v>
      </c>
      <c r="J4" s="16" t="n">
        <v>1.65</v>
      </c>
      <c r="K4" s="16" t="n">
        <v>10</v>
      </c>
      <c r="L4" s="16" t="n">
        <v>-12</v>
      </c>
      <c r="M4" s="16" t="n">
        <v>10</v>
      </c>
      <c r="N4" s="16" t="s">
        <v>156</v>
      </c>
      <c r="O4" s="16" t="s">
        <v>156</v>
      </c>
      <c r="P4" s="16"/>
      <c r="Q4" s="16" t="s">
        <v>51</v>
      </c>
      <c r="R4" s="22" t="n">
        <v>0.76</v>
      </c>
      <c r="S4" s="25" t="n">
        <v>0.75</v>
      </c>
      <c r="T4" s="16" t="s">
        <v>129</v>
      </c>
    </row>
    <row r="5" customFormat="false" ht="15" hidden="false" customHeight="false" outlineLevel="0" collapsed="false">
      <c r="A5" s="18" t="s">
        <v>157</v>
      </c>
      <c r="B5" s="18" t="s">
        <v>134</v>
      </c>
      <c r="C5" s="18" t="s">
        <v>158</v>
      </c>
      <c r="D5" s="18" t="s">
        <v>43</v>
      </c>
      <c r="E5" s="18" t="n">
        <v>215.642</v>
      </c>
      <c r="F5" s="18" t="n">
        <v>215.414</v>
      </c>
      <c r="G5" s="18" t="n">
        <v>215.928</v>
      </c>
      <c r="H5" s="18" t="n">
        <v>22.8</v>
      </c>
      <c r="I5" s="18" t="n">
        <v>28.6</v>
      </c>
      <c r="J5" s="18" t="n">
        <v>1.25</v>
      </c>
      <c r="K5" s="18" t="n">
        <v>0</v>
      </c>
      <c r="L5" s="18" t="n">
        <v>0</v>
      </c>
      <c r="M5" s="18" t="n">
        <v>0</v>
      </c>
      <c r="N5" s="18"/>
      <c r="O5" s="18"/>
      <c r="P5" s="18"/>
      <c r="Q5" s="18" t="s">
        <v>59</v>
      </c>
      <c r="R5" s="20" t="n">
        <v>0</v>
      </c>
      <c r="S5" s="26" t="n">
        <v>0.75</v>
      </c>
      <c r="T5" s="18" t="s">
        <v>129</v>
      </c>
    </row>
    <row r="6" customFormat="false" ht="15" hidden="false" customHeight="false" outlineLevel="0" collapsed="false">
      <c r="A6" s="16" t="s">
        <v>159</v>
      </c>
      <c r="B6" s="16" t="s">
        <v>134</v>
      </c>
      <c r="C6" s="16" t="s">
        <v>160</v>
      </c>
      <c r="D6" s="16" t="s">
        <v>161</v>
      </c>
      <c r="E6" s="16" t="n">
        <v>215.533</v>
      </c>
      <c r="F6" s="16" t="n">
        <v>215.734</v>
      </c>
      <c r="G6" s="16" t="n">
        <v>215.128</v>
      </c>
      <c r="H6" s="16" t="n">
        <v>20.1</v>
      </c>
      <c r="I6" s="16" t="n">
        <v>40.5</v>
      </c>
      <c r="J6" s="16" t="n">
        <v>2.01</v>
      </c>
      <c r="K6" s="16" t="n">
        <v>16</v>
      </c>
      <c r="L6" s="16" t="n">
        <v>-28</v>
      </c>
      <c r="M6" s="16" t="n">
        <v>16</v>
      </c>
      <c r="N6" s="16" t="s">
        <v>156</v>
      </c>
      <c r="O6" s="16" t="s">
        <v>156</v>
      </c>
      <c r="P6" s="16"/>
      <c r="Q6" s="16" t="s">
        <v>51</v>
      </c>
      <c r="R6" s="22" t="n">
        <v>0.9</v>
      </c>
      <c r="S6" s="25" t="n">
        <v>0.85</v>
      </c>
      <c r="T6" s="16" t="s">
        <v>128</v>
      </c>
    </row>
    <row r="7" customFormat="false" ht="15" hidden="false" customHeight="false" outlineLevel="0" collapsed="false">
      <c r="A7" s="18" t="s">
        <v>162</v>
      </c>
      <c r="B7" s="18" t="s">
        <v>134</v>
      </c>
      <c r="C7" s="18" t="s">
        <v>163</v>
      </c>
      <c r="D7" s="18" t="s">
        <v>161</v>
      </c>
      <c r="E7" s="18" t="n">
        <v>215.222</v>
      </c>
      <c r="F7" s="18" t="n">
        <v>215.421</v>
      </c>
      <c r="G7" s="18" t="n">
        <v>214.701</v>
      </c>
      <c r="H7" s="18" t="n">
        <v>19.9</v>
      </c>
      <c r="I7" s="18" t="n">
        <v>52.1</v>
      </c>
      <c r="J7" s="18" t="n">
        <v>2.62</v>
      </c>
      <c r="K7" s="18" t="n">
        <v>-32</v>
      </c>
      <c r="L7" s="18" t="n">
        <v>-156</v>
      </c>
      <c r="M7" s="18" t="n">
        <v>-156</v>
      </c>
      <c r="N7" s="18"/>
      <c r="O7" s="18"/>
      <c r="P7" s="18"/>
      <c r="Q7" s="18" t="s">
        <v>55</v>
      </c>
      <c r="R7" s="20" t="n">
        <v>-1</v>
      </c>
      <c r="S7" s="26" t="n">
        <v>0.75</v>
      </c>
      <c r="T7" s="18" t="s">
        <v>130</v>
      </c>
    </row>
    <row r="8" customFormat="false" ht="15" hidden="false" customHeight="false" outlineLevel="0" collapsed="false">
      <c r="A8" s="16" t="s">
        <v>164</v>
      </c>
      <c r="B8" s="16" t="s">
        <v>133</v>
      </c>
      <c r="C8" s="16" t="s">
        <v>165</v>
      </c>
      <c r="D8" s="16" t="s">
        <v>43</v>
      </c>
      <c r="E8" s="16" t="n">
        <v>1.18111</v>
      </c>
      <c r="F8" s="16" t="n">
        <v>1.17973</v>
      </c>
      <c r="G8" s="16" t="n">
        <v>1.18328</v>
      </c>
      <c r="H8" s="16" t="n">
        <v>13.8</v>
      </c>
      <c r="I8" s="16" t="n">
        <v>21.7</v>
      </c>
      <c r="J8" s="16" t="n">
        <v>1.57</v>
      </c>
      <c r="K8" s="16" t="n">
        <v>-18</v>
      </c>
      <c r="L8" s="16" t="n">
        <v>-121</v>
      </c>
      <c r="M8" s="16" t="n">
        <v>-121</v>
      </c>
      <c r="N8" s="16"/>
      <c r="O8" s="16"/>
      <c r="P8" s="16"/>
      <c r="Q8" s="16" t="s">
        <v>55</v>
      </c>
      <c r="R8" s="23" t="n">
        <v>-1</v>
      </c>
      <c r="S8" s="25" t="n">
        <v>0.75</v>
      </c>
      <c r="T8" s="16" t="s">
        <v>129</v>
      </c>
    </row>
    <row r="9" customFormat="false" ht="15" hidden="false" customHeight="false" outlineLevel="0" collapsed="false">
      <c r="A9" s="18" t="s">
        <v>166</v>
      </c>
      <c r="B9" s="18" t="s">
        <v>135</v>
      </c>
      <c r="C9" s="18" t="s">
        <v>167</v>
      </c>
      <c r="D9" s="18" t="s">
        <v>43</v>
      </c>
      <c r="E9" s="18" t="n">
        <v>1.35798</v>
      </c>
      <c r="F9" s="18" t="n">
        <v>1.35647</v>
      </c>
      <c r="G9" s="18" t="n">
        <v>1.36059</v>
      </c>
      <c r="H9" s="18" t="n">
        <v>15.1</v>
      </c>
      <c r="I9" s="18" t="n">
        <v>26.1</v>
      </c>
      <c r="J9" s="18" t="n">
        <v>1.73</v>
      </c>
      <c r="K9" s="18" t="n">
        <v>-35</v>
      </c>
      <c r="L9" s="18" t="n">
        <v>-128</v>
      </c>
      <c r="M9" s="18" t="n">
        <v>-108</v>
      </c>
      <c r="N9" s="18"/>
      <c r="O9" s="18"/>
      <c r="P9" s="18"/>
      <c r="Q9" s="18" t="s">
        <v>55</v>
      </c>
      <c r="R9" s="20" t="n">
        <v>-1</v>
      </c>
      <c r="S9" s="26" t="n">
        <v>0.75</v>
      </c>
      <c r="T9" s="18" t="s">
        <v>129</v>
      </c>
    </row>
    <row r="10" customFormat="false" ht="15" hidden="false" customHeight="false" outlineLevel="0" collapsed="false">
      <c r="A10" s="16" t="s">
        <v>168</v>
      </c>
      <c r="B10" s="16" t="s">
        <v>134</v>
      </c>
      <c r="C10" s="16" t="s">
        <v>169</v>
      </c>
      <c r="D10" s="16" t="s">
        <v>43</v>
      </c>
      <c r="E10" s="16" t="n">
        <v>215.513</v>
      </c>
      <c r="F10" s="16" t="n">
        <v>215.262</v>
      </c>
      <c r="G10" s="16" t="n">
        <v>216.066</v>
      </c>
      <c r="H10" s="16" t="n">
        <v>25.1</v>
      </c>
      <c r="I10" s="16" t="n">
        <v>55.3</v>
      </c>
      <c r="J10" s="16" t="n">
        <v>2.2</v>
      </c>
      <c r="K10" s="16" t="n">
        <v>30</v>
      </c>
      <c r="L10" s="16" t="n">
        <v>30</v>
      </c>
      <c r="M10" s="16" t="n">
        <v>30</v>
      </c>
      <c r="N10" s="16" t="s">
        <v>156</v>
      </c>
      <c r="O10" s="16" t="s">
        <v>156</v>
      </c>
      <c r="P10" s="16"/>
      <c r="Q10" s="16" t="s">
        <v>51</v>
      </c>
      <c r="R10" s="22" t="n">
        <v>1.1</v>
      </c>
      <c r="S10" s="25" t="n">
        <v>0.85</v>
      </c>
      <c r="T10" s="16" t="s">
        <v>127</v>
      </c>
    </row>
    <row r="11" customFormat="false" ht="15" hidden="false" customHeight="false" outlineLevel="0" collapsed="false">
      <c r="A11" s="18" t="s">
        <v>170</v>
      </c>
      <c r="B11" s="18" t="s">
        <v>134</v>
      </c>
      <c r="C11" s="18" t="s">
        <v>171</v>
      </c>
      <c r="D11" s="18" t="s">
        <v>43</v>
      </c>
      <c r="E11" s="18" t="n">
        <v>215.682</v>
      </c>
      <c r="F11" s="18" t="n">
        <v>215.251</v>
      </c>
      <c r="G11" s="18" t="n">
        <v>216.069</v>
      </c>
      <c r="H11" s="18" t="n">
        <v>43.1</v>
      </c>
      <c r="I11" s="18" t="n">
        <v>38.7</v>
      </c>
      <c r="J11" s="18" t="n">
        <v>0.9</v>
      </c>
      <c r="K11" s="18" t="n">
        <v>5</v>
      </c>
      <c r="L11" s="18" t="n">
        <v>-405</v>
      </c>
      <c r="M11" s="18" t="n">
        <v>-405</v>
      </c>
      <c r="N11" s="18"/>
      <c r="O11" s="18"/>
      <c r="P11" s="18"/>
      <c r="Q11" s="18" t="s">
        <v>55</v>
      </c>
      <c r="R11" s="20" t="n">
        <v>-1</v>
      </c>
      <c r="S11" s="26" t="n">
        <v>0.85</v>
      </c>
      <c r="T11" s="18" t="s">
        <v>127</v>
      </c>
    </row>
    <row r="12" customFormat="false" ht="15" hidden="false" customHeight="false" outlineLevel="0" collapsed="false">
      <c r="A12" s="16" t="s">
        <v>172</v>
      </c>
      <c r="B12" s="16" t="s">
        <v>134</v>
      </c>
      <c r="C12" s="16" t="s">
        <v>173</v>
      </c>
      <c r="D12" s="16" t="s">
        <v>43</v>
      </c>
      <c r="E12" s="16" t="n">
        <v>215.647</v>
      </c>
      <c r="F12" s="16" t="n">
        <v>215.415</v>
      </c>
      <c r="G12" s="16" t="n">
        <v>216.176</v>
      </c>
      <c r="H12" s="16" t="n">
        <v>23.2</v>
      </c>
      <c r="I12" s="16" t="n">
        <v>52.9</v>
      </c>
      <c r="J12" s="16" t="n">
        <v>2.28</v>
      </c>
      <c r="K12" s="16" t="n">
        <v>-8</v>
      </c>
      <c r="L12" s="16" t="n">
        <v>-182</v>
      </c>
      <c r="M12" s="16" t="n">
        <v>-182</v>
      </c>
      <c r="N12" s="16"/>
      <c r="O12" s="16"/>
      <c r="P12" s="16"/>
      <c r="Q12" s="16" t="s">
        <v>55</v>
      </c>
      <c r="R12" s="23" t="n">
        <v>-1</v>
      </c>
      <c r="S12" s="25" t="n">
        <v>0.85</v>
      </c>
      <c r="T12" s="16" t="s">
        <v>127</v>
      </c>
    </row>
    <row r="13" customFormat="false" ht="15" hidden="false" customHeight="false" outlineLevel="0" collapsed="false">
      <c r="A13" s="18" t="s">
        <v>174</v>
      </c>
      <c r="B13" s="18" t="s">
        <v>135</v>
      </c>
      <c r="C13" s="18" t="s">
        <v>175</v>
      </c>
      <c r="D13" s="18" t="s">
        <v>161</v>
      </c>
      <c r="E13" s="18" t="n">
        <v>1.35391</v>
      </c>
      <c r="F13" s="18" t="n">
        <v>1.35617</v>
      </c>
      <c r="G13" s="18" t="n">
        <v>1.35024</v>
      </c>
      <c r="H13" s="18" t="n">
        <v>22.6</v>
      </c>
      <c r="I13" s="18" t="n">
        <v>36.7</v>
      </c>
      <c r="J13" s="18" t="n">
        <v>1.62</v>
      </c>
      <c r="K13" s="18" t="n">
        <v>40</v>
      </c>
      <c r="L13" s="18" t="n">
        <v>-54</v>
      </c>
      <c r="M13" s="18" t="n">
        <v>21</v>
      </c>
      <c r="N13" s="18" t="s">
        <v>156</v>
      </c>
      <c r="O13" s="18" t="s">
        <v>156</v>
      </c>
      <c r="P13" s="18"/>
      <c r="Q13" s="18" t="s">
        <v>51</v>
      </c>
      <c r="R13" s="20" t="n">
        <v>0.96</v>
      </c>
      <c r="S13" s="26" t="n">
        <v>0.85</v>
      </c>
      <c r="T13" s="18" t="s">
        <v>130</v>
      </c>
    </row>
    <row r="14" customFormat="false" ht="15" hidden="false" customHeight="false" outlineLevel="0" collapsed="false">
      <c r="A14" s="16" t="s">
        <v>176</v>
      </c>
      <c r="B14" s="16" t="s">
        <v>135</v>
      </c>
      <c r="C14" s="16" t="s">
        <v>177</v>
      </c>
      <c r="D14" s="16" t="s">
        <v>161</v>
      </c>
      <c r="E14" s="16" t="n">
        <v>1.35382</v>
      </c>
      <c r="F14" s="16" t="n">
        <v>1.3558</v>
      </c>
      <c r="G14" s="16" t="n">
        <v>1.35023</v>
      </c>
      <c r="H14" s="16" t="n">
        <v>19.8</v>
      </c>
      <c r="I14" s="16" t="n">
        <v>35.9</v>
      </c>
      <c r="J14" s="16" t="n">
        <v>1.81</v>
      </c>
      <c r="K14" s="16" t="n">
        <v>31</v>
      </c>
      <c r="L14" s="16" t="n">
        <v>-6</v>
      </c>
      <c r="M14" s="16" t="n">
        <v>31</v>
      </c>
      <c r="N14" s="16" t="s">
        <v>156</v>
      </c>
      <c r="O14" s="16"/>
      <c r="P14" s="16"/>
      <c r="Q14" s="16" t="s">
        <v>53</v>
      </c>
      <c r="R14" s="27" t="n">
        <v>0</v>
      </c>
      <c r="S14" s="25" t="n">
        <v>0.85</v>
      </c>
      <c r="T14" s="16" t="s">
        <v>130</v>
      </c>
    </row>
    <row r="15" customFormat="false" ht="15" hidden="false" customHeight="false" outlineLevel="0" collapsed="false">
      <c r="A15" s="18" t="s">
        <v>178</v>
      </c>
      <c r="B15" s="18" t="s">
        <v>135</v>
      </c>
      <c r="C15" s="18" t="s">
        <v>179</v>
      </c>
      <c r="D15" s="18" t="s">
        <v>161</v>
      </c>
      <c r="E15" s="18" t="n">
        <v>1.35376</v>
      </c>
      <c r="F15" s="18" t="n">
        <v>1.35564</v>
      </c>
      <c r="G15" s="18" t="n">
        <v>1.35004</v>
      </c>
      <c r="H15" s="18" t="n">
        <v>18.8</v>
      </c>
      <c r="I15" s="18" t="n">
        <v>37.2</v>
      </c>
      <c r="J15" s="18" t="n">
        <v>1.98</v>
      </c>
      <c r="K15" s="18" t="n">
        <v>-5</v>
      </c>
      <c r="L15" s="18" t="n">
        <v>-5</v>
      </c>
      <c r="M15" s="18" t="n">
        <v>-5</v>
      </c>
      <c r="N15" s="18" t="s">
        <v>156</v>
      </c>
      <c r="O15" s="18"/>
      <c r="P15" s="18"/>
      <c r="Q15" s="18" t="s">
        <v>53</v>
      </c>
      <c r="R15" s="20" t="n">
        <v>0</v>
      </c>
      <c r="S15" s="26" t="n">
        <v>0.85</v>
      </c>
      <c r="T15" s="18" t="s">
        <v>130</v>
      </c>
    </row>
    <row r="16" customFormat="false" ht="15" hidden="false" customHeight="false" outlineLevel="0" collapsed="false">
      <c r="A16" s="16" t="s">
        <v>180</v>
      </c>
      <c r="B16" s="16" t="s">
        <v>135</v>
      </c>
      <c r="C16" s="16" t="s">
        <v>181</v>
      </c>
      <c r="D16" s="16" t="s">
        <v>161</v>
      </c>
      <c r="E16" s="16" t="n">
        <v>1.35343</v>
      </c>
      <c r="F16" s="16" t="n">
        <v>1.35535</v>
      </c>
      <c r="G16" s="16" t="n">
        <v>1.34989</v>
      </c>
      <c r="H16" s="16" t="n">
        <v>19.2</v>
      </c>
      <c r="I16" s="16" t="n">
        <v>35.4</v>
      </c>
      <c r="J16" s="16" t="n">
        <v>1.84</v>
      </c>
      <c r="K16" s="16" t="n">
        <v>18</v>
      </c>
      <c r="L16" s="16" t="n">
        <v>18</v>
      </c>
      <c r="M16" s="16" t="n">
        <v>18</v>
      </c>
      <c r="N16" s="16" t="s">
        <v>156</v>
      </c>
      <c r="O16" s="16" t="s">
        <v>156</v>
      </c>
      <c r="P16" s="16"/>
      <c r="Q16" s="16" t="s">
        <v>51</v>
      </c>
      <c r="R16" s="22" t="n">
        <v>0.97</v>
      </c>
      <c r="S16" s="25" t="n">
        <v>0.85</v>
      </c>
      <c r="T16" s="16" t="s">
        <v>130</v>
      </c>
    </row>
    <row r="17" customFormat="false" ht="15" hidden="false" customHeight="false" outlineLevel="0" collapsed="false">
      <c r="A17" s="18" t="s">
        <v>182</v>
      </c>
      <c r="B17" s="18" t="s">
        <v>135</v>
      </c>
      <c r="C17" s="18" t="s">
        <v>183</v>
      </c>
      <c r="D17" s="18" t="s">
        <v>161</v>
      </c>
      <c r="E17" s="18" t="n">
        <v>1.35342</v>
      </c>
      <c r="F17" s="18" t="n">
        <v>1.35505</v>
      </c>
      <c r="G17" s="18" t="n">
        <v>1.34985</v>
      </c>
      <c r="H17" s="18" t="n">
        <v>16.3</v>
      </c>
      <c r="I17" s="18" t="n">
        <v>35.7</v>
      </c>
      <c r="J17" s="18" t="n">
        <v>2.19</v>
      </c>
      <c r="K17" s="18" t="n">
        <v>5</v>
      </c>
      <c r="L17" s="18" t="n">
        <v>-139</v>
      </c>
      <c r="M17" s="18" t="n">
        <v>-139</v>
      </c>
      <c r="N17" s="18"/>
      <c r="O17" s="18"/>
      <c r="P17" s="18" t="s">
        <v>156</v>
      </c>
      <c r="Q17" s="18" t="s">
        <v>57</v>
      </c>
      <c r="R17" s="20" t="n">
        <v>-1</v>
      </c>
      <c r="S17" s="26" t="n">
        <v>0.85</v>
      </c>
      <c r="T17" s="18" t="s">
        <v>130</v>
      </c>
    </row>
    <row r="18" customFormat="false" ht="15" hidden="false" customHeight="false" outlineLevel="0" collapsed="false">
      <c r="A18" s="16" t="s">
        <v>184</v>
      </c>
      <c r="B18" s="16" t="s">
        <v>135</v>
      </c>
      <c r="C18" s="16" t="s">
        <v>185</v>
      </c>
      <c r="D18" s="16" t="s">
        <v>161</v>
      </c>
      <c r="E18" s="16" t="n">
        <v>1.35338</v>
      </c>
      <c r="F18" s="16" t="n">
        <v>1.35523</v>
      </c>
      <c r="G18" s="16" t="n">
        <v>1.34985</v>
      </c>
      <c r="H18" s="16" t="n">
        <v>18.5</v>
      </c>
      <c r="I18" s="16" t="n">
        <v>35.3</v>
      </c>
      <c r="J18" s="16" t="n">
        <v>1.91</v>
      </c>
      <c r="K18" s="16" t="n">
        <v>-59</v>
      </c>
      <c r="L18" s="16" t="n">
        <v>-188</v>
      </c>
      <c r="M18" s="16" t="n">
        <v>-188</v>
      </c>
      <c r="N18" s="16"/>
      <c r="O18" s="16"/>
      <c r="P18" s="16"/>
      <c r="Q18" s="16" t="s">
        <v>55</v>
      </c>
      <c r="R18" s="23" t="n">
        <v>-1</v>
      </c>
      <c r="S18" s="25" t="n">
        <v>0.85</v>
      </c>
      <c r="T18" s="16" t="s">
        <v>130</v>
      </c>
    </row>
    <row r="19" customFormat="false" ht="15" hidden="false" customHeight="false" outlineLevel="0" collapsed="false">
      <c r="A19" s="18" t="s">
        <v>186</v>
      </c>
      <c r="B19" s="18" t="s">
        <v>135</v>
      </c>
      <c r="C19" s="18" t="s">
        <v>187</v>
      </c>
      <c r="D19" s="18" t="s">
        <v>161</v>
      </c>
      <c r="E19" s="18" t="n">
        <v>1.35514</v>
      </c>
      <c r="F19" s="18" t="n">
        <v>1.35723</v>
      </c>
      <c r="G19" s="18" t="n">
        <v>1.35157</v>
      </c>
      <c r="H19" s="18" t="n">
        <v>20.9</v>
      </c>
      <c r="I19" s="18" t="n">
        <v>35.7</v>
      </c>
      <c r="J19" s="18" t="n">
        <v>1.71</v>
      </c>
      <c r="K19" s="18" t="n">
        <v>27</v>
      </c>
      <c r="L19" s="18" t="n">
        <v>27</v>
      </c>
      <c r="M19" s="18" t="n">
        <v>27</v>
      </c>
      <c r="N19" s="18" t="s">
        <v>156</v>
      </c>
      <c r="O19" s="18" t="s">
        <v>156</v>
      </c>
      <c r="P19" s="18"/>
      <c r="Q19" s="18" t="s">
        <v>51</v>
      </c>
      <c r="R19" s="20" t="n">
        <v>1.15</v>
      </c>
      <c r="S19" s="26" t="n">
        <v>0.85</v>
      </c>
      <c r="T19" s="18" t="s">
        <v>130</v>
      </c>
    </row>
    <row r="20" customFormat="false" ht="15" hidden="false" customHeight="false" outlineLevel="0" collapsed="false">
      <c r="A20" s="16" t="s">
        <v>188</v>
      </c>
      <c r="B20" s="16" t="s">
        <v>135</v>
      </c>
      <c r="C20" s="16" t="s">
        <v>189</v>
      </c>
      <c r="D20" s="16" t="s">
        <v>161</v>
      </c>
      <c r="E20" s="16" t="n">
        <v>1.35478</v>
      </c>
      <c r="F20" s="16" t="n">
        <v>1.35675</v>
      </c>
      <c r="G20" s="16" t="n">
        <v>1.35131</v>
      </c>
      <c r="H20" s="16" t="n">
        <v>19.7</v>
      </c>
      <c r="I20" s="16" t="n">
        <v>34.7</v>
      </c>
      <c r="J20" s="16" t="n">
        <v>1.76</v>
      </c>
      <c r="K20" s="16" t="n">
        <v>-1</v>
      </c>
      <c r="L20" s="16" t="n">
        <v>-1</v>
      </c>
      <c r="M20" s="16" t="n">
        <v>-1</v>
      </c>
      <c r="N20" s="16" t="s">
        <v>156</v>
      </c>
      <c r="O20" s="16"/>
      <c r="P20" s="16"/>
      <c r="Q20" s="16" t="s">
        <v>53</v>
      </c>
      <c r="R20" s="27" t="n">
        <v>0</v>
      </c>
      <c r="S20" s="25" t="n">
        <v>0.85</v>
      </c>
      <c r="T20" s="16" t="s">
        <v>130</v>
      </c>
    </row>
    <row r="21" customFormat="false" ht="15" hidden="false" customHeight="false" outlineLevel="0" collapsed="false">
      <c r="A21" s="18" t="s">
        <v>190</v>
      </c>
      <c r="B21" s="18" t="s">
        <v>135</v>
      </c>
      <c r="C21" s="18" t="s">
        <v>191</v>
      </c>
      <c r="D21" s="18" t="s">
        <v>161</v>
      </c>
      <c r="E21" s="18" t="n">
        <v>1.35472</v>
      </c>
      <c r="F21" s="18" t="n">
        <v>1.35648</v>
      </c>
      <c r="G21" s="18" t="n">
        <v>1.35102</v>
      </c>
      <c r="H21" s="18" t="n">
        <v>17.6</v>
      </c>
      <c r="I21" s="18" t="n">
        <v>37</v>
      </c>
      <c r="J21" s="18" t="n">
        <v>2.1</v>
      </c>
      <c r="K21" s="18" t="n">
        <v>30</v>
      </c>
      <c r="L21" s="18" t="n">
        <v>30</v>
      </c>
      <c r="M21" s="18" t="n">
        <v>30</v>
      </c>
      <c r="N21" s="18" t="s">
        <v>156</v>
      </c>
      <c r="O21" s="18" t="s">
        <v>156</v>
      </c>
      <c r="P21" s="18"/>
      <c r="Q21" s="18" t="s">
        <v>51</v>
      </c>
      <c r="R21" s="20" t="n">
        <v>1.35</v>
      </c>
      <c r="S21" s="26" t="n">
        <v>0.85</v>
      </c>
      <c r="T21" s="18" t="s">
        <v>130</v>
      </c>
    </row>
    <row r="22" customFormat="false" ht="15" hidden="false" customHeight="false" outlineLevel="0" collapsed="false">
      <c r="A22" s="16" t="s">
        <v>192</v>
      </c>
      <c r="B22" s="16" t="s">
        <v>135</v>
      </c>
      <c r="C22" s="16" t="s">
        <v>193</v>
      </c>
      <c r="D22" s="16" t="s">
        <v>161</v>
      </c>
      <c r="E22" s="16" t="n">
        <v>1.35459</v>
      </c>
      <c r="F22" s="16" t="n">
        <v>1.35633</v>
      </c>
      <c r="G22" s="16" t="n">
        <v>1.35081</v>
      </c>
      <c r="H22" s="16" t="n">
        <v>17.4</v>
      </c>
      <c r="I22" s="16" t="n">
        <v>37.8</v>
      </c>
      <c r="J22" s="16" t="n">
        <v>2.17</v>
      </c>
      <c r="K22" s="16" t="n">
        <v>37</v>
      </c>
      <c r="L22" s="16" t="n">
        <v>-10</v>
      </c>
      <c r="M22" s="16" t="n">
        <v>37</v>
      </c>
      <c r="N22" s="16" t="s">
        <v>156</v>
      </c>
      <c r="O22" s="16" t="s">
        <v>156</v>
      </c>
      <c r="P22" s="16"/>
      <c r="Q22" s="16" t="s">
        <v>51</v>
      </c>
      <c r="R22" s="22" t="n">
        <v>1.56</v>
      </c>
      <c r="S22" s="25" t="n">
        <v>0.85</v>
      </c>
      <c r="T22" s="16" t="s">
        <v>130</v>
      </c>
    </row>
    <row r="23" customFormat="false" ht="15" hidden="false" customHeight="false" outlineLevel="0" collapsed="false">
      <c r="A23" s="18" t="s">
        <v>194</v>
      </c>
      <c r="B23" s="18" t="s">
        <v>135</v>
      </c>
      <c r="C23" s="18" t="s">
        <v>195</v>
      </c>
      <c r="D23" s="18" t="s">
        <v>161</v>
      </c>
      <c r="E23" s="18" t="n">
        <v>1.35432</v>
      </c>
      <c r="F23" s="18" t="n">
        <v>1.35618</v>
      </c>
      <c r="G23" s="18" t="n">
        <v>1.35098</v>
      </c>
      <c r="H23" s="18" t="n">
        <v>18.6</v>
      </c>
      <c r="I23" s="18" t="n">
        <v>33.4</v>
      </c>
      <c r="J23" s="18" t="n">
        <v>1.8</v>
      </c>
      <c r="K23" s="18" t="n">
        <v>3</v>
      </c>
      <c r="L23" s="18" t="n">
        <v>3</v>
      </c>
      <c r="M23" s="18" t="n">
        <v>3</v>
      </c>
      <c r="N23" s="18" t="s">
        <v>156</v>
      </c>
      <c r="O23" s="18"/>
      <c r="P23" s="18"/>
      <c r="Q23" s="18" t="s">
        <v>53</v>
      </c>
      <c r="R23" s="20" t="n">
        <v>0</v>
      </c>
      <c r="S23" s="26" t="n">
        <v>0.75</v>
      </c>
      <c r="T23" s="18" t="s">
        <v>130</v>
      </c>
    </row>
    <row r="24" customFormat="false" ht="15" hidden="false" customHeight="false" outlineLevel="0" collapsed="false">
      <c r="A24" s="16" t="s">
        <v>196</v>
      </c>
      <c r="B24" s="16" t="s">
        <v>135</v>
      </c>
      <c r="C24" s="16" t="s">
        <v>197</v>
      </c>
      <c r="D24" s="16" t="s">
        <v>161</v>
      </c>
      <c r="E24" s="16" t="n">
        <v>1.3541</v>
      </c>
      <c r="F24" s="16" t="n">
        <v>1.35617</v>
      </c>
      <c r="G24" s="16" t="n">
        <v>1.35109</v>
      </c>
      <c r="H24" s="16" t="n">
        <v>20.7</v>
      </c>
      <c r="I24" s="16" t="n">
        <v>30.1</v>
      </c>
      <c r="J24" s="16" t="n">
        <v>1.45</v>
      </c>
      <c r="K24" s="16" t="n">
        <v>50</v>
      </c>
      <c r="L24" s="16" t="n">
        <v>-102</v>
      </c>
      <c r="M24" s="16" t="n">
        <v>50</v>
      </c>
      <c r="N24" s="16" t="s">
        <v>156</v>
      </c>
      <c r="O24" s="16"/>
      <c r="P24" s="16"/>
      <c r="Q24" s="16" t="s">
        <v>53</v>
      </c>
      <c r="R24" s="27" t="n">
        <v>0</v>
      </c>
      <c r="S24" s="25" t="n">
        <v>0.75</v>
      </c>
      <c r="T24" s="16" t="s">
        <v>130</v>
      </c>
    </row>
    <row r="25" customFormat="false" ht="15" hidden="false" customHeight="false" outlineLevel="0" collapsed="false">
      <c r="A25" s="18" t="s">
        <v>198</v>
      </c>
      <c r="B25" s="18" t="s">
        <v>134</v>
      </c>
      <c r="C25" s="18" t="s">
        <v>199</v>
      </c>
      <c r="D25" s="18" t="s">
        <v>43</v>
      </c>
      <c r="E25" s="18" t="n">
        <v>215.549</v>
      </c>
      <c r="F25" s="18" t="n">
        <v>215.336</v>
      </c>
      <c r="G25" s="18" t="n">
        <v>215.994</v>
      </c>
      <c r="H25" s="18" t="n">
        <v>21.3</v>
      </c>
      <c r="I25" s="18" t="n">
        <v>44.5</v>
      </c>
      <c r="J25" s="18" t="n">
        <v>2.09</v>
      </c>
      <c r="K25" s="18" t="n">
        <v>26</v>
      </c>
      <c r="L25" s="18" t="n">
        <v>26</v>
      </c>
      <c r="M25" s="18" t="n">
        <v>26</v>
      </c>
      <c r="N25" s="18" t="s">
        <v>156</v>
      </c>
      <c r="O25" s="18" t="s">
        <v>156</v>
      </c>
      <c r="P25" s="18"/>
      <c r="Q25" s="18" t="s">
        <v>51</v>
      </c>
      <c r="R25" s="20" t="n">
        <v>1.11</v>
      </c>
      <c r="S25" s="26" t="n">
        <v>0.85</v>
      </c>
      <c r="T25" s="18" t="s">
        <v>127</v>
      </c>
    </row>
    <row r="26" customFormat="false" ht="15" hidden="false" customHeight="false" outlineLevel="0" collapsed="false">
      <c r="A26" s="16" t="s">
        <v>200</v>
      </c>
      <c r="B26" s="16" t="s">
        <v>135</v>
      </c>
      <c r="C26" s="16" t="s">
        <v>201</v>
      </c>
      <c r="D26" s="16" t="s">
        <v>161</v>
      </c>
      <c r="E26" s="16" t="n">
        <v>1.35393</v>
      </c>
      <c r="F26" s="16" t="n">
        <v>1.35589</v>
      </c>
      <c r="G26" s="16" t="n">
        <v>1.35063</v>
      </c>
      <c r="H26" s="16" t="n">
        <v>19.6</v>
      </c>
      <c r="I26" s="16" t="n">
        <v>33</v>
      </c>
      <c r="J26" s="16" t="n">
        <v>1.68</v>
      </c>
      <c r="K26" s="16" t="n">
        <v>177</v>
      </c>
      <c r="L26" s="16" t="n">
        <v>-79</v>
      </c>
      <c r="M26" s="16" t="n">
        <v>63</v>
      </c>
      <c r="N26" s="16" t="s">
        <v>156</v>
      </c>
      <c r="O26" s="16" t="s">
        <v>156</v>
      </c>
      <c r="P26" s="16"/>
      <c r="Q26" s="16" t="s">
        <v>51</v>
      </c>
      <c r="R26" s="22" t="n">
        <v>2.11</v>
      </c>
      <c r="S26" s="25" t="n">
        <v>0.75</v>
      </c>
      <c r="T26" s="16" t="s">
        <v>130</v>
      </c>
    </row>
    <row r="27" customFormat="false" ht="15" hidden="false" customHeight="false" outlineLevel="0" collapsed="false">
      <c r="A27" s="18" t="s">
        <v>202</v>
      </c>
      <c r="B27" s="18" t="s">
        <v>134</v>
      </c>
      <c r="C27" s="18" t="s">
        <v>203</v>
      </c>
      <c r="D27" s="18" t="s">
        <v>43</v>
      </c>
      <c r="E27" s="18" t="n">
        <v>215.61</v>
      </c>
      <c r="F27" s="18" t="n">
        <v>215.331</v>
      </c>
      <c r="G27" s="18" t="n">
        <v>216.015</v>
      </c>
      <c r="H27" s="18" t="n">
        <v>27.9</v>
      </c>
      <c r="I27" s="18" t="n">
        <v>40.5</v>
      </c>
      <c r="J27" s="18" t="n">
        <v>1.45</v>
      </c>
      <c r="K27" s="18" t="n">
        <v>-53</v>
      </c>
      <c r="L27" s="18" t="n">
        <v>-86</v>
      </c>
      <c r="M27" s="18" t="n">
        <v>-86</v>
      </c>
      <c r="N27" s="18"/>
      <c r="O27" s="18"/>
      <c r="P27" s="18"/>
      <c r="Q27" s="18" t="s">
        <v>55</v>
      </c>
      <c r="R27" s="20" t="n">
        <v>-1</v>
      </c>
      <c r="S27" s="26" t="n">
        <v>0.85</v>
      </c>
      <c r="T27" s="18" t="s">
        <v>127</v>
      </c>
    </row>
    <row r="28" customFormat="false" ht="15" hidden="false" customHeight="false" outlineLevel="0" collapsed="false">
      <c r="A28" s="16" t="s">
        <v>204</v>
      </c>
      <c r="B28" s="16" t="s">
        <v>135</v>
      </c>
      <c r="C28" s="16" t="s">
        <v>205</v>
      </c>
      <c r="D28" s="16" t="s">
        <v>161</v>
      </c>
      <c r="E28" s="16" t="n">
        <v>1.35211</v>
      </c>
      <c r="F28" s="16" t="n">
        <v>1.35536</v>
      </c>
      <c r="G28" s="16" t="n">
        <v>1.34908</v>
      </c>
      <c r="H28" s="16" t="n">
        <v>32.5</v>
      </c>
      <c r="I28" s="16" t="n">
        <v>30.3</v>
      </c>
      <c r="J28" s="16" t="n">
        <v>0.93</v>
      </c>
      <c r="K28" s="16" t="n">
        <v>16</v>
      </c>
      <c r="L28" s="16" t="n">
        <v>-56</v>
      </c>
      <c r="M28" s="16" t="n">
        <v>16</v>
      </c>
      <c r="N28" s="16" t="s">
        <v>156</v>
      </c>
      <c r="O28" s="16"/>
      <c r="P28" s="16"/>
      <c r="Q28" s="16" t="s">
        <v>53</v>
      </c>
      <c r="R28" s="27" t="n">
        <v>0</v>
      </c>
      <c r="S28" s="25" t="n">
        <v>0.75</v>
      </c>
      <c r="T28" s="16" t="s">
        <v>130</v>
      </c>
    </row>
    <row r="29" customFormat="false" ht="15" hidden="false" customHeight="false" outlineLevel="0" collapsed="false">
      <c r="A29" s="18" t="s">
        <v>206</v>
      </c>
      <c r="B29" s="18" t="s">
        <v>133</v>
      </c>
      <c r="C29" s="18" t="s">
        <v>207</v>
      </c>
      <c r="D29" s="18" t="s">
        <v>161</v>
      </c>
      <c r="E29" s="18" t="n">
        <v>1.17718</v>
      </c>
      <c r="F29" s="18" t="n">
        <v>1.17892</v>
      </c>
      <c r="G29" s="18" t="n">
        <v>1.17377</v>
      </c>
      <c r="H29" s="18" t="n">
        <v>17.4</v>
      </c>
      <c r="I29" s="18" t="n">
        <v>34.1</v>
      </c>
      <c r="J29" s="18" t="n">
        <v>1.96</v>
      </c>
      <c r="K29" s="18" t="n">
        <v>11</v>
      </c>
      <c r="L29" s="18" t="n">
        <v>-140</v>
      </c>
      <c r="M29" s="18" t="n">
        <v>11</v>
      </c>
      <c r="N29" s="18" t="s">
        <v>156</v>
      </c>
      <c r="O29" s="18" t="s">
        <v>156</v>
      </c>
      <c r="P29" s="18"/>
      <c r="Q29" s="18" t="s">
        <v>51</v>
      </c>
      <c r="R29" s="20" t="n">
        <v>0.82</v>
      </c>
      <c r="S29" s="26" t="n">
        <v>0.75</v>
      </c>
      <c r="T29" s="18" t="s">
        <v>130</v>
      </c>
    </row>
    <row r="30" customFormat="false" ht="15" hidden="false" customHeight="false" outlineLevel="0" collapsed="false">
      <c r="A30" s="16" t="s">
        <v>208</v>
      </c>
      <c r="B30" s="16" t="s">
        <v>135</v>
      </c>
      <c r="C30" s="16" t="s">
        <v>209</v>
      </c>
      <c r="D30" s="16" t="s">
        <v>161</v>
      </c>
      <c r="E30" s="16" t="n">
        <v>1.35347</v>
      </c>
      <c r="F30" s="16" t="n">
        <v>1.35575</v>
      </c>
      <c r="G30" s="16" t="n">
        <v>1.34838</v>
      </c>
      <c r="H30" s="16" t="n">
        <v>22.8</v>
      </c>
      <c r="I30" s="16" t="n">
        <v>50.9</v>
      </c>
      <c r="J30" s="16" t="n">
        <v>2.23</v>
      </c>
      <c r="K30" s="16" t="n">
        <v>59</v>
      </c>
      <c r="L30" s="16" t="n">
        <v>9</v>
      </c>
      <c r="M30" s="16" t="n">
        <v>18</v>
      </c>
      <c r="N30" s="16" t="s">
        <v>156</v>
      </c>
      <c r="O30" s="16" t="s">
        <v>156</v>
      </c>
      <c r="P30" s="16"/>
      <c r="Q30" s="16" t="s">
        <v>51</v>
      </c>
      <c r="R30" s="22" t="n">
        <v>0.89</v>
      </c>
      <c r="S30" s="25" t="n">
        <v>0.75</v>
      </c>
      <c r="T30" s="16" t="s">
        <v>130</v>
      </c>
    </row>
    <row r="31" customFormat="false" ht="15" hidden="false" customHeight="false" outlineLevel="0" collapsed="false">
      <c r="A31" s="18" t="s">
        <v>210</v>
      </c>
      <c r="B31" s="18" t="s">
        <v>135</v>
      </c>
      <c r="C31" s="18" t="s">
        <v>211</v>
      </c>
      <c r="D31" s="18" t="s">
        <v>161</v>
      </c>
      <c r="E31" s="18" t="n">
        <v>1.3535</v>
      </c>
      <c r="F31" s="18" t="n">
        <v>1.35598</v>
      </c>
      <c r="G31" s="18" t="n">
        <v>1.34831</v>
      </c>
      <c r="H31" s="18" t="n">
        <v>24.8</v>
      </c>
      <c r="I31" s="18" t="n">
        <v>51.9</v>
      </c>
      <c r="J31" s="18" t="n">
        <v>2.09</v>
      </c>
      <c r="K31" s="18" t="n">
        <v>12</v>
      </c>
      <c r="L31" s="18" t="n">
        <v>-3</v>
      </c>
      <c r="M31" s="18" t="n">
        <v>12</v>
      </c>
      <c r="N31" s="18" t="s">
        <v>156</v>
      </c>
      <c r="O31" s="18" t="s">
        <v>156</v>
      </c>
      <c r="P31" s="18"/>
      <c r="Q31" s="18" t="s">
        <v>51</v>
      </c>
      <c r="R31" s="20" t="n">
        <v>0.74</v>
      </c>
      <c r="S31" s="26" t="n">
        <v>0.85</v>
      </c>
      <c r="T31" s="18" t="s">
        <v>130</v>
      </c>
    </row>
    <row r="32" customFormat="false" ht="15" hidden="false" customHeight="false" outlineLevel="0" collapsed="false">
      <c r="A32" s="16" t="s">
        <v>212</v>
      </c>
      <c r="B32" s="16" t="s">
        <v>135</v>
      </c>
      <c r="C32" s="16" t="s">
        <v>213</v>
      </c>
      <c r="D32" s="16" t="s">
        <v>161</v>
      </c>
      <c r="E32" s="16" t="n">
        <v>1.35353</v>
      </c>
      <c r="F32" s="16" t="n">
        <v>1.356</v>
      </c>
      <c r="G32" s="16" t="n">
        <v>1.34849</v>
      </c>
      <c r="H32" s="16" t="n">
        <v>24.7</v>
      </c>
      <c r="I32" s="16" t="n">
        <v>50.4</v>
      </c>
      <c r="J32" s="16" t="n">
        <v>2.04</v>
      </c>
      <c r="K32" s="16" t="n">
        <v>38</v>
      </c>
      <c r="L32" s="16" t="n">
        <v>38</v>
      </c>
      <c r="M32" s="16" t="n">
        <v>38</v>
      </c>
      <c r="N32" s="16" t="s">
        <v>156</v>
      </c>
      <c r="O32" s="16" t="s">
        <v>156</v>
      </c>
      <c r="P32" s="16"/>
      <c r="Q32" s="16" t="s">
        <v>51</v>
      </c>
      <c r="R32" s="22" t="n">
        <v>1.27</v>
      </c>
      <c r="S32" s="25" t="n">
        <v>0.85</v>
      </c>
      <c r="T32" s="16" t="s">
        <v>130</v>
      </c>
    </row>
    <row r="33" customFormat="false" ht="15" hidden="false" customHeight="false" outlineLevel="0" collapsed="false">
      <c r="A33" s="18" t="s">
        <v>214</v>
      </c>
      <c r="B33" s="18" t="s">
        <v>135</v>
      </c>
      <c r="C33" s="18" t="s">
        <v>215</v>
      </c>
      <c r="D33" s="18" t="s">
        <v>161</v>
      </c>
      <c r="E33" s="18" t="n">
        <v>1.35342</v>
      </c>
      <c r="F33" s="18" t="n">
        <v>1.35581</v>
      </c>
      <c r="G33" s="18" t="n">
        <v>1.34816</v>
      </c>
      <c r="H33" s="18" t="n">
        <v>23.9</v>
      </c>
      <c r="I33" s="18" t="n">
        <v>52.6</v>
      </c>
      <c r="J33" s="18" t="n">
        <v>2.2</v>
      </c>
      <c r="K33" s="18" t="n">
        <v>117</v>
      </c>
      <c r="L33" s="18" t="n">
        <v>-78</v>
      </c>
      <c r="M33" s="18" t="n">
        <v>38</v>
      </c>
      <c r="N33" s="18" t="s">
        <v>156</v>
      </c>
      <c r="O33" s="18" t="s">
        <v>156</v>
      </c>
      <c r="P33" s="18"/>
      <c r="Q33" s="18" t="s">
        <v>51</v>
      </c>
      <c r="R33" s="20" t="n">
        <v>1.29</v>
      </c>
      <c r="S33" s="26" t="n">
        <v>0.85</v>
      </c>
      <c r="T33" s="18" t="s">
        <v>130</v>
      </c>
    </row>
    <row r="34" customFormat="false" ht="15" hidden="false" customHeight="false" outlineLevel="0" collapsed="false">
      <c r="A34" s="16" t="s">
        <v>216</v>
      </c>
      <c r="B34" s="16" t="s">
        <v>135</v>
      </c>
      <c r="C34" s="16" t="s">
        <v>217</v>
      </c>
      <c r="D34" s="16" t="s">
        <v>161</v>
      </c>
      <c r="E34" s="16" t="n">
        <v>1.35308</v>
      </c>
      <c r="F34" s="16" t="n">
        <v>1.35611</v>
      </c>
      <c r="G34" s="16" t="n">
        <v>1.34777</v>
      </c>
      <c r="H34" s="16" t="n">
        <v>30.3</v>
      </c>
      <c r="I34" s="16" t="n">
        <v>53.1</v>
      </c>
      <c r="J34" s="16" t="n">
        <v>1.75</v>
      </c>
      <c r="K34" s="16" t="n">
        <v>15</v>
      </c>
      <c r="L34" s="16" t="n">
        <v>15</v>
      </c>
      <c r="M34" s="16" t="n">
        <v>15</v>
      </c>
      <c r="N34" s="16" t="s">
        <v>156</v>
      </c>
      <c r="O34" s="16"/>
      <c r="P34" s="16"/>
      <c r="Q34" s="16" t="s">
        <v>53</v>
      </c>
      <c r="R34" s="27" t="n">
        <v>0</v>
      </c>
      <c r="S34" s="25" t="n">
        <v>0.85</v>
      </c>
      <c r="T34" s="16" t="s">
        <v>130</v>
      </c>
    </row>
    <row r="35" customFormat="false" ht="15" hidden="false" customHeight="false" outlineLevel="0" collapsed="false">
      <c r="A35" s="18" t="s">
        <v>218</v>
      </c>
      <c r="B35" s="18" t="s">
        <v>135</v>
      </c>
      <c r="C35" s="18" t="s">
        <v>219</v>
      </c>
      <c r="D35" s="18" t="s">
        <v>161</v>
      </c>
      <c r="E35" s="18" t="n">
        <v>1.35268</v>
      </c>
      <c r="F35" s="18" t="n">
        <v>1.35569</v>
      </c>
      <c r="G35" s="18" t="n">
        <v>1.34741</v>
      </c>
      <c r="H35" s="18" t="n">
        <v>30.1</v>
      </c>
      <c r="I35" s="18" t="n">
        <v>52.7</v>
      </c>
      <c r="J35" s="18" t="n">
        <v>1.75</v>
      </c>
      <c r="K35" s="18" t="n">
        <v>15</v>
      </c>
      <c r="L35" s="18" t="n">
        <v>15</v>
      </c>
      <c r="M35" s="18" t="n">
        <v>15</v>
      </c>
      <c r="N35" s="18" t="s">
        <v>156</v>
      </c>
      <c r="O35" s="18"/>
      <c r="P35" s="18"/>
      <c r="Q35" s="18" t="s">
        <v>53</v>
      </c>
      <c r="R35" s="20" t="n">
        <v>0</v>
      </c>
      <c r="S35" s="26" t="n">
        <v>0.75</v>
      </c>
      <c r="T35" s="18" t="s">
        <v>130</v>
      </c>
    </row>
    <row r="36" customFormat="false" ht="15" hidden="false" customHeight="false" outlineLevel="0" collapsed="false">
      <c r="A36" s="16" t="s">
        <v>220</v>
      </c>
      <c r="B36" s="16" t="s">
        <v>135</v>
      </c>
      <c r="C36" s="16" t="s">
        <v>221</v>
      </c>
      <c r="D36" s="16" t="s">
        <v>161</v>
      </c>
      <c r="E36" s="16" t="n">
        <v>1.35279</v>
      </c>
      <c r="F36" s="16" t="n">
        <v>1.35566</v>
      </c>
      <c r="G36" s="16" t="n">
        <v>1.34742</v>
      </c>
      <c r="H36" s="16" t="n">
        <v>28.7</v>
      </c>
      <c r="I36" s="16" t="n">
        <v>53.7</v>
      </c>
      <c r="J36" s="16" t="n">
        <v>1.87</v>
      </c>
      <c r="K36" s="16" t="n">
        <v>54</v>
      </c>
      <c r="L36" s="16" t="n">
        <v>8</v>
      </c>
      <c r="M36" s="16" t="n">
        <v>17</v>
      </c>
      <c r="N36" s="16" t="s">
        <v>156</v>
      </c>
      <c r="O36" s="16" t="s">
        <v>156</v>
      </c>
      <c r="P36" s="16"/>
      <c r="Q36" s="16" t="s">
        <v>51</v>
      </c>
      <c r="R36" s="22" t="n">
        <v>0.8</v>
      </c>
      <c r="S36" s="25" t="n">
        <v>0.75</v>
      </c>
      <c r="T36" s="16" t="s">
        <v>130</v>
      </c>
    </row>
    <row r="37" customFormat="false" ht="15" hidden="false" customHeight="false" outlineLevel="0" collapsed="false">
      <c r="A37" s="18" t="s">
        <v>222</v>
      </c>
      <c r="B37" s="18" t="s">
        <v>133</v>
      </c>
      <c r="C37" s="18" t="s">
        <v>223</v>
      </c>
      <c r="D37" s="18" t="s">
        <v>161</v>
      </c>
      <c r="E37" s="18" t="n">
        <v>1.17691</v>
      </c>
      <c r="F37" s="18" t="n">
        <v>1.17914</v>
      </c>
      <c r="G37" s="18" t="n">
        <v>1.1733</v>
      </c>
      <c r="H37" s="18" t="n">
        <v>22.3</v>
      </c>
      <c r="I37" s="18" t="n">
        <v>36.1</v>
      </c>
      <c r="J37" s="18" t="n">
        <v>1.62</v>
      </c>
      <c r="K37" s="18" t="n">
        <v>-26</v>
      </c>
      <c r="L37" s="18" t="n">
        <v>-158</v>
      </c>
      <c r="M37" s="18" t="n">
        <v>-148</v>
      </c>
      <c r="N37" s="18"/>
      <c r="O37" s="18"/>
      <c r="P37" s="18"/>
      <c r="Q37" s="18" t="s">
        <v>55</v>
      </c>
      <c r="R37" s="20" t="n">
        <v>-1</v>
      </c>
      <c r="S37" s="26" t="n">
        <v>0.75</v>
      </c>
      <c r="T37" s="18" t="s">
        <v>130</v>
      </c>
    </row>
    <row r="38" customFormat="false" ht="15" hidden="false" customHeight="false" outlineLevel="0" collapsed="false">
      <c r="A38" s="16" t="s">
        <v>224</v>
      </c>
      <c r="B38" s="16" t="s">
        <v>135</v>
      </c>
      <c r="C38" s="16" t="s">
        <v>225</v>
      </c>
      <c r="D38" s="16" t="s">
        <v>161</v>
      </c>
      <c r="E38" s="16" t="n">
        <v>1.35265</v>
      </c>
      <c r="F38" s="16" t="n">
        <v>1.35562</v>
      </c>
      <c r="G38" s="16" t="n">
        <v>1.34761</v>
      </c>
      <c r="H38" s="16" t="n">
        <v>29.7</v>
      </c>
      <c r="I38" s="16" t="n">
        <v>50.4</v>
      </c>
      <c r="J38" s="16" t="n">
        <v>1.7</v>
      </c>
      <c r="K38" s="16" t="n">
        <v>11</v>
      </c>
      <c r="L38" s="16" t="n">
        <v>-12</v>
      </c>
      <c r="M38" s="16" t="n">
        <v>11</v>
      </c>
      <c r="N38" s="16" t="s">
        <v>156</v>
      </c>
      <c r="O38" s="16"/>
      <c r="P38" s="16"/>
      <c r="Q38" s="16" t="s">
        <v>53</v>
      </c>
      <c r="R38" s="27" t="n">
        <v>0</v>
      </c>
      <c r="S38" s="25" t="n">
        <v>0.75</v>
      </c>
      <c r="T38" s="16" t="s">
        <v>130</v>
      </c>
    </row>
    <row r="39" customFormat="false" ht="15" hidden="false" customHeight="false" outlineLevel="0" collapsed="false">
      <c r="A39" s="18" t="s">
        <v>226</v>
      </c>
      <c r="B39" s="18" t="s">
        <v>135</v>
      </c>
      <c r="C39" s="18" t="s">
        <v>227</v>
      </c>
      <c r="D39" s="18" t="s">
        <v>161</v>
      </c>
      <c r="E39" s="18" t="n">
        <v>1.35256</v>
      </c>
      <c r="F39" s="18" t="n">
        <v>1.35532</v>
      </c>
      <c r="G39" s="18" t="n">
        <v>1.34761</v>
      </c>
      <c r="H39" s="18" t="n">
        <v>27.6</v>
      </c>
      <c r="I39" s="18" t="n">
        <v>49.5</v>
      </c>
      <c r="J39" s="18" t="n">
        <v>1.79</v>
      </c>
      <c r="K39" s="18" t="n">
        <v>136</v>
      </c>
      <c r="L39" s="18" t="n">
        <v>-87</v>
      </c>
      <c r="M39" s="18" t="n">
        <v>62</v>
      </c>
      <c r="N39" s="18" t="s">
        <v>156</v>
      </c>
      <c r="O39" s="18" t="s">
        <v>156</v>
      </c>
      <c r="P39" s="18"/>
      <c r="Q39" s="18" t="s">
        <v>51</v>
      </c>
      <c r="R39" s="20" t="n">
        <v>1.62</v>
      </c>
      <c r="S39" s="26" t="n">
        <v>0.75</v>
      </c>
      <c r="T39" s="18" t="s">
        <v>130</v>
      </c>
    </row>
    <row r="40" customFormat="false" ht="15" hidden="false" customHeight="false" outlineLevel="0" collapsed="false">
      <c r="A40" s="16" t="s">
        <v>228</v>
      </c>
      <c r="B40" s="16" t="s">
        <v>42</v>
      </c>
      <c r="C40" s="16" t="s">
        <v>229</v>
      </c>
      <c r="D40" s="16" t="s">
        <v>43</v>
      </c>
      <c r="E40" s="16" t="n">
        <v>187.669</v>
      </c>
      <c r="F40" s="16" t="n">
        <v>187.5</v>
      </c>
      <c r="G40" s="16" t="n">
        <v>187.934</v>
      </c>
      <c r="H40" s="16" t="n">
        <v>16.9</v>
      </c>
      <c r="I40" s="16" t="n">
        <v>26.5</v>
      </c>
      <c r="J40" s="16" t="n">
        <v>1.57</v>
      </c>
      <c r="K40" s="16" t="n">
        <v>79</v>
      </c>
      <c r="L40" s="16" t="n">
        <v>-9</v>
      </c>
      <c r="M40" s="16" t="n">
        <v>73</v>
      </c>
      <c r="N40" s="16" t="s">
        <v>156</v>
      </c>
      <c r="O40" s="16" t="s">
        <v>156</v>
      </c>
      <c r="P40" s="16"/>
      <c r="Q40" s="16" t="s">
        <v>51</v>
      </c>
      <c r="R40" s="22" t="n">
        <v>2.66</v>
      </c>
      <c r="S40" s="25" t="n">
        <v>0.85</v>
      </c>
      <c r="T40" s="16" t="s">
        <v>129</v>
      </c>
    </row>
    <row r="41" customFormat="false" ht="15" hidden="false" customHeight="false" outlineLevel="0" collapsed="false">
      <c r="A41" s="18" t="s">
        <v>230</v>
      </c>
      <c r="B41" s="18" t="s">
        <v>42</v>
      </c>
      <c r="C41" s="18" t="s">
        <v>231</v>
      </c>
      <c r="D41" s="18" t="s">
        <v>43</v>
      </c>
      <c r="E41" s="18" t="n">
        <v>187.734</v>
      </c>
      <c r="F41" s="18" t="n">
        <v>187.537</v>
      </c>
      <c r="G41" s="18" t="n">
        <v>187.976</v>
      </c>
      <c r="H41" s="18" t="n">
        <v>19.7</v>
      </c>
      <c r="I41" s="18" t="n">
        <v>24.2</v>
      </c>
      <c r="J41" s="18" t="n">
        <v>1.23</v>
      </c>
      <c r="K41" s="18" t="n">
        <v>14</v>
      </c>
      <c r="L41" s="18" t="n">
        <v>14</v>
      </c>
      <c r="M41" s="18" t="n">
        <v>14</v>
      </c>
      <c r="N41" s="18" t="s">
        <v>156</v>
      </c>
      <c r="O41" s="18"/>
      <c r="P41" s="18"/>
      <c r="Q41" s="18" t="s">
        <v>53</v>
      </c>
      <c r="R41" s="20" t="n">
        <v>0</v>
      </c>
      <c r="S41" s="26" t="n">
        <v>0.75</v>
      </c>
      <c r="T41" s="18" t="s">
        <v>129</v>
      </c>
    </row>
    <row r="42" customFormat="false" ht="15" hidden="false" customHeight="false" outlineLevel="0" collapsed="false">
      <c r="A42" s="16" t="s">
        <v>232</v>
      </c>
      <c r="B42" s="16" t="s">
        <v>42</v>
      </c>
      <c r="C42" s="16" t="s">
        <v>233</v>
      </c>
      <c r="D42" s="16" t="s">
        <v>43</v>
      </c>
      <c r="E42" s="16" t="n">
        <v>187.703</v>
      </c>
      <c r="F42" s="16" t="n">
        <v>187.522</v>
      </c>
      <c r="G42" s="16" t="n">
        <v>188.001</v>
      </c>
      <c r="H42" s="16" t="n">
        <v>18.1</v>
      </c>
      <c r="I42" s="16" t="n">
        <v>29.8</v>
      </c>
      <c r="J42" s="16" t="n">
        <v>1.65</v>
      </c>
      <c r="K42" s="16" t="n">
        <v>39</v>
      </c>
      <c r="L42" s="16" t="n">
        <v>39</v>
      </c>
      <c r="M42" s="16" t="n">
        <v>39</v>
      </c>
      <c r="N42" s="16" t="s">
        <v>156</v>
      </c>
      <c r="O42" s="16"/>
      <c r="P42" s="16"/>
      <c r="Q42" s="16" t="s">
        <v>53</v>
      </c>
      <c r="R42" s="27" t="n">
        <v>0</v>
      </c>
      <c r="S42" s="25" t="n">
        <v>0.75</v>
      </c>
      <c r="T42" s="16" t="s">
        <v>129</v>
      </c>
    </row>
    <row r="43" customFormat="false" ht="15" hidden="false" customHeight="false" outlineLevel="0" collapsed="false">
      <c r="A43" s="18" t="s">
        <v>234</v>
      </c>
      <c r="B43" s="18" t="s">
        <v>42</v>
      </c>
      <c r="C43" s="18" t="s">
        <v>235</v>
      </c>
      <c r="D43" s="18" t="s">
        <v>43</v>
      </c>
      <c r="E43" s="18" t="n">
        <v>187.742</v>
      </c>
      <c r="F43" s="18" t="n">
        <v>187.57</v>
      </c>
      <c r="G43" s="18" t="n">
        <v>188.052</v>
      </c>
      <c r="H43" s="18" t="n">
        <v>17.2</v>
      </c>
      <c r="I43" s="18" t="n">
        <v>31</v>
      </c>
      <c r="J43" s="18" t="n">
        <v>1.8</v>
      </c>
      <c r="K43" s="18" t="n">
        <v>13</v>
      </c>
      <c r="L43" s="18" t="n">
        <v>-147</v>
      </c>
      <c r="M43" s="18" t="n">
        <v>13</v>
      </c>
      <c r="N43" s="18" t="s">
        <v>156</v>
      </c>
      <c r="O43" s="18" t="s">
        <v>156</v>
      </c>
      <c r="P43" s="18"/>
      <c r="Q43" s="18" t="s">
        <v>51</v>
      </c>
      <c r="R43" s="20" t="n">
        <v>0.88</v>
      </c>
      <c r="S43" s="26" t="n">
        <v>0.75</v>
      </c>
      <c r="T43" s="18" t="s">
        <v>129</v>
      </c>
    </row>
    <row r="44" customFormat="false" ht="15" hidden="false" customHeight="false" outlineLevel="0" collapsed="false">
      <c r="A44" s="16" t="s">
        <v>236</v>
      </c>
      <c r="B44" s="16" t="s">
        <v>134</v>
      </c>
      <c r="C44" s="16" t="s">
        <v>237</v>
      </c>
      <c r="D44" s="16" t="s">
        <v>43</v>
      </c>
      <c r="E44" s="16" t="n">
        <v>215.303</v>
      </c>
      <c r="F44" s="16" t="n">
        <v>215.013</v>
      </c>
      <c r="G44" s="16" t="n">
        <v>215.755</v>
      </c>
      <c r="H44" s="16" t="n">
        <v>29</v>
      </c>
      <c r="I44" s="16" t="n">
        <v>45.2</v>
      </c>
      <c r="J44" s="16" t="n">
        <v>1.56</v>
      </c>
      <c r="K44" s="16" t="n">
        <v>48</v>
      </c>
      <c r="L44" s="16" t="n">
        <v>7</v>
      </c>
      <c r="M44" s="16" t="n">
        <v>48</v>
      </c>
      <c r="N44" s="16" t="s">
        <v>156</v>
      </c>
      <c r="O44" s="16" t="s">
        <v>156</v>
      </c>
      <c r="P44" s="16"/>
      <c r="Q44" s="16" t="s">
        <v>51</v>
      </c>
      <c r="R44" s="22" t="n">
        <v>1.33</v>
      </c>
      <c r="S44" s="25" t="n">
        <v>0.85</v>
      </c>
      <c r="T44" s="16" t="s">
        <v>127</v>
      </c>
    </row>
    <row r="45" customFormat="false" ht="15" hidden="false" customHeight="false" outlineLevel="0" collapsed="false">
      <c r="A45" s="18" t="s">
        <v>238</v>
      </c>
      <c r="B45" s="18" t="s">
        <v>135</v>
      </c>
      <c r="C45" s="18" t="s">
        <v>239</v>
      </c>
      <c r="D45" s="18" t="s">
        <v>43</v>
      </c>
      <c r="E45" s="18" t="n">
        <v>1.35256</v>
      </c>
      <c r="F45" s="18" t="n">
        <v>1.35072</v>
      </c>
      <c r="G45" s="18" t="n">
        <v>1.355</v>
      </c>
      <c r="H45" s="18" t="n">
        <v>18.4</v>
      </c>
      <c r="I45" s="18" t="n">
        <v>24.4</v>
      </c>
      <c r="J45" s="18" t="n">
        <v>1.33</v>
      </c>
      <c r="K45" s="18" t="n">
        <v>126</v>
      </c>
      <c r="L45" s="18" t="n">
        <v>15</v>
      </c>
      <c r="M45" s="18" t="n">
        <v>25</v>
      </c>
      <c r="N45" s="18" t="s">
        <v>156</v>
      </c>
      <c r="O45" s="18" t="s">
        <v>156</v>
      </c>
      <c r="P45" s="18"/>
      <c r="Q45" s="18" t="s">
        <v>51</v>
      </c>
      <c r="R45" s="20" t="n">
        <v>1.18</v>
      </c>
      <c r="S45" s="26" t="n">
        <v>0.85</v>
      </c>
      <c r="T45" s="18" t="s">
        <v>127</v>
      </c>
    </row>
    <row r="46" customFormat="false" ht="15" hidden="false" customHeight="false" outlineLevel="0" collapsed="false">
      <c r="A46" s="16" t="s">
        <v>240</v>
      </c>
      <c r="B46" s="16" t="s">
        <v>134</v>
      </c>
      <c r="C46" s="16" t="s">
        <v>241</v>
      </c>
      <c r="D46" s="16" t="s">
        <v>43</v>
      </c>
      <c r="E46" s="16" t="n">
        <v>215.319</v>
      </c>
      <c r="F46" s="16" t="n">
        <v>215.077</v>
      </c>
      <c r="G46" s="16" t="n">
        <v>215.844</v>
      </c>
      <c r="H46" s="16" t="n">
        <v>24.2</v>
      </c>
      <c r="I46" s="16" t="n">
        <v>52.5</v>
      </c>
      <c r="J46" s="16" t="n">
        <v>2.17</v>
      </c>
      <c r="K46" s="16" t="n">
        <v>59</v>
      </c>
      <c r="L46" s="16" t="n">
        <v>59</v>
      </c>
      <c r="M46" s="16" t="n">
        <v>59</v>
      </c>
      <c r="N46" s="16" t="s">
        <v>156</v>
      </c>
      <c r="O46" s="16" t="s">
        <v>156</v>
      </c>
      <c r="P46" s="16"/>
      <c r="Q46" s="16" t="s">
        <v>51</v>
      </c>
      <c r="R46" s="22" t="n">
        <v>1.72</v>
      </c>
      <c r="S46" s="25" t="n">
        <v>0.85</v>
      </c>
      <c r="T46" s="16" t="s">
        <v>127</v>
      </c>
    </row>
    <row r="47" customFormat="false" ht="15" hidden="false" customHeight="false" outlineLevel="0" collapsed="false">
      <c r="A47" s="18" t="s">
        <v>242</v>
      </c>
      <c r="B47" s="18" t="s">
        <v>133</v>
      </c>
      <c r="C47" s="18" t="s">
        <v>243</v>
      </c>
      <c r="D47" s="18" t="s">
        <v>43</v>
      </c>
      <c r="E47" s="18" t="n">
        <v>1.17915</v>
      </c>
      <c r="F47" s="18" t="n">
        <v>1.17784</v>
      </c>
      <c r="G47" s="18" t="n">
        <v>1.1814</v>
      </c>
      <c r="H47" s="18" t="n">
        <v>13.1</v>
      </c>
      <c r="I47" s="18" t="n">
        <v>22.5</v>
      </c>
      <c r="J47" s="18" t="n">
        <v>1.72</v>
      </c>
      <c r="K47" s="18" t="n">
        <v>33</v>
      </c>
      <c r="L47" s="18" t="n">
        <v>33</v>
      </c>
      <c r="M47" s="18" t="n">
        <v>33</v>
      </c>
      <c r="N47" s="18" t="s">
        <v>156</v>
      </c>
      <c r="O47" s="18" t="s">
        <v>156</v>
      </c>
      <c r="P47" s="18"/>
      <c r="Q47" s="18" t="s">
        <v>51</v>
      </c>
      <c r="R47" s="20" t="n">
        <v>1.76</v>
      </c>
      <c r="S47" s="26" t="n">
        <v>0.85</v>
      </c>
      <c r="T47" s="18" t="s">
        <v>127</v>
      </c>
    </row>
    <row r="48" customFormat="false" ht="15" hidden="false" customHeight="false" outlineLevel="0" collapsed="false">
      <c r="A48" s="16" t="s">
        <v>244</v>
      </c>
      <c r="B48" s="16" t="s">
        <v>135</v>
      </c>
      <c r="C48" s="16" t="s">
        <v>245</v>
      </c>
      <c r="D48" s="16" t="s">
        <v>43</v>
      </c>
      <c r="E48" s="16" t="n">
        <v>1.35309</v>
      </c>
      <c r="F48" s="16" t="n">
        <v>1.3511</v>
      </c>
      <c r="G48" s="16" t="n">
        <v>1.35583</v>
      </c>
      <c r="H48" s="16" t="n">
        <v>19.9</v>
      </c>
      <c r="I48" s="16" t="n">
        <v>27.4</v>
      </c>
      <c r="J48" s="16" t="n">
        <v>1.38</v>
      </c>
      <c r="K48" s="16" t="n">
        <v>73</v>
      </c>
      <c r="L48" s="16" t="n">
        <v>-15</v>
      </c>
      <c r="M48" s="16" t="n">
        <v>73</v>
      </c>
      <c r="N48" s="16" t="s">
        <v>156</v>
      </c>
      <c r="O48" s="16" t="s">
        <v>156</v>
      </c>
      <c r="P48" s="16"/>
      <c r="Q48" s="16" t="s">
        <v>51</v>
      </c>
      <c r="R48" s="22" t="n">
        <v>2.33</v>
      </c>
      <c r="S48" s="25" t="n">
        <v>0.85</v>
      </c>
      <c r="T48" s="16" t="s">
        <v>127</v>
      </c>
    </row>
    <row r="49" customFormat="false" ht="15" hidden="false" customHeight="false" outlineLevel="0" collapsed="false">
      <c r="A49" s="18" t="s">
        <v>246</v>
      </c>
      <c r="B49" s="18" t="s">
        <v>134</v>
      </c>
      <c r="C49" s="18" t="s">
        <v>247</v>
      </c>
      <c r="D49" s="18" t="s">
        <v>43</v>
      </c>
      <c r="E49" s="18" t="n">
        <v>215.397</v>
      </c>
      <c r="F49" s="18" t="n">
        <v>215.1</v>
      </c>
      <c r="G49" s="18" t="n">
        <v>215.878</v>
      </c>
      <c r="H49" s="18" t="n">
        <v>29.7</v>
      </c>
      <c r="I49" s="18" t="n">
        <v>48.1</v>
      </c>
      <c r="J49" s="18" t="n">
        <v>1.62</v>
      </c>
      <c r="K49" s="18" t="n">
        <v>18</v>
      </c>
      <c r="L49" s="18" t="n">
        <v>-68</v>
      </c>
      <c r="M49" s="18" t="n">
        <v>18</v>
      </c>
      <c r="N49" s="18" t="s">
        <v>156</v>
      </c>
      <c r="O49" s="18" t="s">
        <v>156</v>
      </c>
      <c r="P49" s="18"/>
      <c r="Q49" s="18" t="s">
        <v>51</v>
      </c>
      <c r="R49" s="20" t="n">
        <v>0.8</v>
      </c>
      <c r="S49" s="26" t="n">
        <v>0.85</v>
      </c>
      <c r="T49" s="18" t="s">
        <v>127</v>
      </c>
    </row>
    <row r="50" customFormat="false" ht="15" hidden="false" customHeight="false" outlineLevel="0" collapsed="false">
      <c r="A50" s="16" t="s">
        <v>248</v>
      </c>
      <c r="B50" s="16" t="s">
        <v>133</v>
      </c>
      <c r="C50" s="16" t="s">
        <v>249</v>
      </c>
      <c r="D50" s="16" t="s">
        <v>43</v>
      </c>
      <c r="E50" s="16" t="n">
        <v>1.17938</v>
      </c>
      <c r="F50" s="16" t="n">
        <v>1.17819</v>
      </c>
      <c r="G50" s="16" t="n">
        <v>1.1818</v>
      </c>
      <c r="H50" s="16" t="n">
        <v>11.9</v>
      </c>
      <c r="I50" s="16" t="n">
        <v>24.2</v>
      </c>
      <c r="J50" s="16" t="n">
        <v>2.03</v>
      </c>
      <c r="K50" s="16" t="n">
        <v>38</v>
      </c>
      <c r="L50" s="16" t="n">
        <v>-22</v>
      </c>
      <c r="M50" s="16" t="n">
        <v>20</v>
      </c>
      <c r="N50" s="16" t="s">
        <v>156</v>
      </c>
      <c r="O50" s="16" t="s">
        <v>156</v>
      </c>
      <c r="P50" s="16"/>
      <c r="Q50" s="16" t="s">
        <v>51</v>
      </c>
      <c r="R50" s="22" t="n">
        <v>1.34</v>
      </c>
      <c r="S50" s="25" t="n">
        <v>0.85</v>
      </c>
      <c r="T50" s="16" t="s">
        <v>127</v>
      </c>
    </row>
    <row r="51" customFormat="false" ht="15" hidden="false" customHeight="false" outlineLevel="0" collapsed="false">
      <c r="A51" s="18" t="s">
        <v>250</v>
      </c>
      <c r="B51" s="18" t="s">
        <v>133</v>
      </c>
      <c r="C51" s="18" t="s">
        <v>251</v>
      </c>
      <c r="D51" s="18" t="s">
        <v>43</v>
      </c>
      <c r="E51" s="18" t="n">
        <v>1.17969</v>
      </c>
      <c r="F51" s="18" t="n">
        <v>1.17803</v>
      </c>
      <c r="G51" s="18" t="n">
        <v>1.18187</v>
      </c>
      <c r="H51" s="18" t="n">
        <v>16.6</v>
      </c>
      <c r="I51" s="18" t="n">
        <v>21.8</v>
      </c>
      <c r="J51" s="18" t="n">
        <v>1.31</v>
      </c>
      <c r="K51" s="18" t="n">
        <v>11</v>
      </c>
      <c r="L51" s="18" t="n">
        <v>11</v>
      </c>
      <c r="M51" s="18" t="n">
        <v>11</v>
      </c>
      <c r="N51" s="18" t="s">
        <v>156</v>
      </c>
      <c r="O51" s="18"/>
      <c r="P51" s="18"/>
      <c r="Q51" s="18" t="s">
        <v>53</v>
      </c>
      <c r="R51" s="20" t="n">
        <v>0</v>
      </c>
      <c r="S51" s="26" t="n">
        <v>0.85</v>
      </c>
      <c r="T51" s="18" t="s">
        <v>127</v>
      </c>
    </row>
    <row r="52" customFormat="false" ht="15" hidden="false" customHeight="false" outlineLevel="0" collapsed="false">
      <c r="A52" s="16" t="s">
        <v>252</v>
      </c>
      <c r="B52" s="16" t="s">
        <v>133</v>
      </c>
      <c r="C52" s="16" t="s">
        <v>253</v>
      </c>
      <c r="D52" s="16" t="s">
        <v>43</v>
      </c>
      <c r="E52" s="16" t="n">
        <v>1.17946</v>
      </c>
      <c r="F52" s="16" t="n">
        <v>1.17817</v>
      </c>
      <c r="G52" s="16" t="n">
        <v>1.18211</v>
      </c>
      <c r="H52" s="16" t="n">
        <v>12.9</v>
      </c>
      <c r="I52" s="16" t="n">
        <v>26.5</v>
      </c>
      <c r="J52" s="16" t="n">
        <v>2.05</v>
      </c>
      <c r="K52" s="16" t="n">
        <v>28</v>
      </c>
      <c r="L52" s="16" t="n">
        <v>-35</v>
      </c>
      <c r="M52" s="16" t="n">
        <v>28</v>
      </c>
      <c r="N52" s="16" t="s">
        <v>156</v>
      </c>
      <c r="O52" s="16" t="s">
        <v>156</v>
      </c>
      <c r="P52" s="16"/>
      <c r="Q52" s="16" t="s">
        <v>51</v>
      </c>
      <c r="R52" s="22" t="n">
        <v>1.59</v>
      </c>
      <c r="S52" s="25" t="n">
        <v>0.85</v>
      </c>
      <c r="T52" s="16" t="s">
        <v>127</v>
      </c>
    </row>
    <row r="53" customFormat="false" ht="15" hidden="false" customHeight="false" outlineLevel="0" collapsed="false">
      <c r="A53" s="18" t="s">
        <v>254</v>
      </c>
      <c r="B53" s="18" t="s">
        <v>135</v>
      </c>
      <c r="C53" s="18" t="s">
        <v>255</v>
      </c>
      <c r="D53" s="18" t="s">
        <v>43</v>
      </c>
      <c r="E53" s="18" t="n">
        <v>1.35337</v>
      </c>
      <c r="F53" s="18" t="n">
        <v>1.35131</v>
      </c>
      <c r="G53" s="18" t="n">
        <v>1.35651</v>
      </c>
      <c r="H53" s="18" t="n">
        <v>20.6</v>
      </c>
      <c r="I53" s="18" t="n">
        <v>31.4</v>
      </c>
      <c r="J53" s="18" t="n">
        <v>1.52</v>
      </c>
      <c r="K53" s="18" t="n">
        <v>17</v>
      </c>
      <c r="L53" s="18" t="n">
        <v>-66</v>
      </c>
      <c r="M53" s="18" t="n">
        <v>17</v>
      </c>
      <c r="N53" s="18" t="s">
        <v>156</v>
      </c>
      <c r="O53" s="18"/>
      <c r="P53" s="18"/>
      <c r="Q53" s="18" t="s">
        <v>53</v>
      </c>
      <c r="R53" s="20" t="n">
        <v>0</v>
      </c>
      <c r="S53" s="26" t="n">
        <v>0.85</v>
      </c>
      <c r="T53" s="18" t="s">
        <v>127</v>
      </c>
    </row>
    <row r="54" customFormat="false" ht="15" hidden="false" customHeight="false" outlineLevel="0" collapsed="false">
      <c r="A54" s="16" t="s">
        <v>256</v>
      </c>
      <c r="B54" s="16" t="s">
        <v>134</v>
      </c>
      <c r="C54" s="16" t="s">
        <v>257</v>
      </c>
      <c r="D54" s="16" t="s">
        <v>43</v>
      </c>
      <c r="E54" s="16" t="n">
        <v>215.218</v>
      </c>
      <c r="F54" s="16" t="n">
        <v>214.968</v>
      </c>
      <c r="G54" s="16" t="n">
        <v>215.71</v>
      </c>
      <c r="H54" s="16" t="n">
        <v>25</v>
      </c>
      <c r="I54" s="16" t="n">
        <v>49.2</v>
      </c>
      <c r="J54" s="16" t="n">
        <v>1.97</v>
      </c>
      <c r="K54" s="16" t="n">
        <v>21</v>
      </c>
      <c r="L54" s="16" t="n">
        <v>21</v>
      </c>
      <c r="M54" s="16" t="n">
        <v>21</v>
      </c>
      <c r="N54" s="16" t="s">
        <v>156</v>
      </c>
      <c r="O54" s="16" t="s">
        <v>156</v>
      </c>
      <c r="P54" s="16"/>
      <c r="Q54" s="16" t="s">
        <v>51</v>
      </c>
      <c r="R54" s="22" t="n">
        <v>0.92</v>
      </c>
      <c r="S54" s="25" t="n">
        <v>0.85</v>
      </c>
      <c r="T54" s="16" t="s">
        <v>127</v>
      </c>
    </row>
    <row r="55" customFormat="false" ht="15" hidden="false" customHeight="false" outlineLevel="0" collapsed="false">
      <c r="A55" s="18" t="s">
        <v>258</v>
      </c>
      <c r="B55" s="18" t="s">
        <v>134</v>
      </c>
      <c r="C55" s="18" t="s">
        <v>259</v>
      </c>
      <c r="D55" s="18" t="s">
        <v>43</v>
      </c>
      <c r="E55" s="18" t="n">
        <v>215.264</v>
      </c>
      <c r="F55" s="18" t="n">
        <v>214.975</v>
      </c>
      <c r="G55" s="18" t="n">
        <v>215.727</v>
      </c>
      <c r="H55" s="18" t="n">
        <v>28.9</v>
      </c>
      <c r="I55" s="18" t="n">
        <v>46.3</v>
      </c>
      <c r="J55" s="18" t="n">
        <v>1.6</v>
      </c>
      <c r="K55" s="18" t="n">
        <v>169</v>
      </c>
      <c r="L55" s="18" t="n">
        <v>29</v>
      </c>
      <c r="M55" s="18" t="n">
        <v>29</v>
      </c>
      <c r="N55" s="18" t="s">
        <v>156</v>
      </c>
      <c r="O55" s="18" t="s">
        <v>156</v>
      </c>
      <c r="P55" s="18"/>
      <c r="Q55" s="18" t="s">
        <v>51</v>
      </c>
      <c r="R55" s="20" t="n">
        <v>1</v>
      </c>
      <c r="S55" s="26" t="n">
        <v>0.85</v>
      </c>
      <c r="T55" s="18" t="s">
        <v>127</v>
      </c>
    </row>
    <row r="56" customFormat="false" ht="15" hidden="false" customHeight="false" outlineLevel="0" collapsed="false">
      <c r="A56" s="16" t="s">
        <v>260</v>
      </c>
      <c r="B56" s="16" t="s">
        <v>134</v>
      </c>
      <c r="C56" s="16" t="s">
        <v>261</v>
      </c>
      <c r="D56" s="16" t="s">
        <v>43</v>
      </c>
      <c r="E56" s="16" t="n">
        <v>215.311</v>
      </c>
      <c r="F56" s="16" t="n">
        <v>215.036</v>
      </c>
      <c r="G56" s="16" t="n">
        <v>215.784</v>
      </c>
      <c r="H56" s="16" t="n">
        <v>27.5</v>
      </c>
      <c r="I56" s="16" t="n">
        <v>47.3</v>
      </c>
      <c r="J56" s="16" t="n">
        <v>1.72</v>
      </c>
      <c r="K56" s="16" t="n">
        <v>14</v>
      </c>
      <c r="L56" s="16" t="n">
        <v>-2</v>
      </c>
      <c r="M56" s="16" t="n">
        <v>14</v>
      </c>
      <c r="N56" s="16" t="s">
        <v>156</v>
      </c>
      <c r="O56" s="16"/>
      <c r="P56" s="16"/>
      <c r="Q56" s="16" t="s">
        <v>53</v>
      </c>
      <c r="R56" s="27" t="n">
        <v>0</v>
      </c>
      <c r="S56" s="25" t="n">
        <v>0.85</v>
      </c>
      <c r="T56" s="16" t="s">
        <v>127</v>
      </c>
    </row>
    <row r="57" customFormat="false" ht="15" hidden="false" customHeight="false" outlineLevel="0" collapsed="false">
      <c r="A57" s="18" t="s">
        <v>262</v>
      </c>
      <c r="B57" s="18" t="s">
        <v>134</v>
      </c>
      <c r="C57" s="18" t="s">
        <v>263</v>
      </c>
      <c r="D57" s="18" t="s">
        <v>43</v>
      </c>
      <c r="E57" s="18" t="n">
        <v>215.467</v>
      </c>
      <c r="F57" s="18" t="n">
        <v>215.173</v>
      </c>
      <c r="G57" s="18" t="n">
        <v>215.917</v>
      </c>
      <c r="H57" s="18" t="n">
        <v>29.4</v>
      </c>
      <c r="I57" s="18" t="n">
        <v>45</v>
      </c>
      <c r="J57" s="18" t="n">
        <v>1.53</v>
      </c>
      <c r="K57" s="18" t="n">
        <v>-95</v>
      </c>
      <c r="L57" s="18" t="n">
        <v>-189</v>
      </c>
      <c r="M57" s="18" t="n">
        <v>-189</v>
      </c>
      <c r="N57" s="18"/>
      <c r="O57" s="18"/>
      <c r="P57" s="18"/>
      <c r="Q57" s="18" t="s">
        <v>55</v>
      </c>
      <c r="R57" s="20" t="n">
        <v>-1</v>
      </c>
      <c r="S57" s="26" t="n">
        <v>0.85</v>
      </c>
      <c r="T57" s="18" t="s">
        <v>127</v>
      </c>
    </row>
    <row r="58" customFormat="false" ht="15" hidden="false" customHeight="false" outlineLevel="0" collapsed="false">
      <c r="A58" s="16" t="s">
        <v>264</v>
      </c>
      <c r="B58" s="16" t="s">
        <v>133</v>
      </c>
      <c r="C58" s="16" t="s">
        <v>265</v>
      </c>
      <c r="D58" s="16" t="s">
        <v>43</v>
      </c>
      <c r="E58" s="16" t="n">
        <v>1.18329</v>
      </c>
      <c r="F58" s="16" t="n">
        <v>1.18065</v>
      </c>
      <c r="G58" s="16" t="n">
        <v>1.18598</v>
      </c>
      <c r="H58" s="16" t="n">
        <v>26.4</v>
      </c>
      <c r="I58" s="16" t="n">
        <v>26.9</v>
      </c>
      <c r="J58" s="16" t="n">
        <v>1.02</v>
      </c>
      <c r="K58" s="16" t="n">
        <v>130</v>
      </c>
      <c r="L58" s="16" t="n">
        <v>84</v>
      </c>
      <c r="M58" s="16" t="n">
        <v>84</v>
      </c>
      <c r="N58" s="16" t="s">
        <v>156</v>
      </c>
      <c r="O58" s="16" t="s">
        <v>156</v>
      </c>
      <c r="P58" s="16"/>
      <c r="Q58" s="16" t="s">
        <v>51</v>
      </c>
      <c r="R58" s="22" t="n">
        <v>2.09</v>
      </c>
      <c r="S58" s="25" t="n">
        <v>0.75</v>
      </c>
      <c r="T58" s="16" t="s">
        <v>129</v>
      </c>
    </row>
    <row r="59" customFormat="false" ht="15" hidden="false" customHeight="false" outlineLevel="0" collapsed="false">
      <c r="A59" s="18" t="s">
        <v>266</v>
      </c>
      <c r="B59" s="18" t="s">
        <v>135</v>
      </c>
      <c r="C59" s="18" t="s">
        <v>267</v>
      </c>
      <c r="D59" s="18" t="s">
        <v>43</v>
      </c>
      <c r="E59" s="18" t="n">
        <v>1.35791</v>
      </c>
      <c r="F59" s="18" t="n">
        <v>1.35533</v>
      </c>
      <c r="G59" s="18" t="n">
        <v>1.36279</v>
      </c>
      <c r="H59" s="18" t="n">
        <v>25.8</v>
      </c>
      <c r="I59" s="18" t="n">
        <v>48.8</v>
      </c>
      <c r="J59" s="18" t="n">
        <v>1.89</v>
      </c>
      <c r="K59" s="18" t="n">
        <v>184</v>
      </c>
      <c r="L59" s="18" t="n">
        <v>40</v>
      </c>
      <c r="M59" s="18" t="n">
        <v>40</v>
      </c>
      <c r="N59" s="18" t="s">
        <v>156</v>
      </c>
      <c r="O59" s="18" t="s">
        <v>156</v>
      </c>
      <c r="P59" s="18"/>
      <c r="Q59" s="18" t="s">
        <v>51</v>
      </c>
      <c r="R59" s="20" t="n">
        <v>1.28</v>
      </c>
      <c r="S59" s="26" t="n">
        <v>0.85</v>
      </c>
      <c r="T59" s="18" t="s">
        <v>127</v>
      </c>
    </row>
    <row r="60" customFormat="false" ht="15" hidden="false" customHeight="false" outlineLevel="0" collapsed="false">
      <c r="A60" s="16" t="s">
        <v>268</v>
      </c>
      <c r="B60" s="16" t="s">
        <v>133</v>
      </c>
      <c r="C60" s="16" t="s">
        <v>269</v>
      </c>
      <c r="D60" s="16" t="s">
        <v>43</v>
      </c>
      <c r="E60" s="16" t="n">
        <v>1.18482</v>
      </c>
      <c r="F60" s="16" t="n">
        <v>1.1823</v>
      </c>
      <c r="G60" s="16" t="n">
        <v>1.1881</v>
      </c>
      <c r="H60" s="16" t="n">
        <v>25.2</v>
      </c>
      <c r="I60" s="16" t="n">
        <v>32.8</v>
      </c>
      <c r="J60" s="16" t="n">
        <v>1.3</v>
      </c>
      <c r="K60" s="16" t="n">
        <v>-23</v>
      </c>
      <c r="L60" s="16" t="n">
        <v>-206</v>
      </c>
      <c r="M60" s="16" t="n">
        <v>-169</v>
      </c>
      <c r="N60" s="16"/>
      <c r="O60" s="16"/>
      <c r="P60" s="16"/>
      <c r="Q60" s="16" t="s">
        <v>55</v>
      </c>
      <c r="R60" s="23" t="n">
        <v>-1</v>
      </c>
      <c r="S60" s="25" t="n">
        <v>0.75</v>
      </c>
      <c r="T60" s="16" t="s">
        <v>129</v>
      </c>
    </row>
    <row r="61" customFormat="false" ht="15" hidden="false" customHeight="false" outlineLevel="0" collapsed="false">
      <c r="A61" s="18" t="s">
        <v>270</v>
      </c>
      <c r="B61" s="18" t="s">
        <v>135</v>
      </c>
      <c r="C61" s="18" t="s">
        <v>271</v>
      </c>
      <c r="D61" s="18" t="s">
        <v>43</v>
      </c>
      <c r="E61" s="18" t="n">
        <v>1.35918</v>
      </c>
      <c r="F61" s="18" t="n">
        <v>1.35692</v>
      </c>
      <c r="G61" s="18" t="n">
        <v>1.3651</v>
      </c>
      <c r="H61" s="18" t="n">
        <v>22.6</v>
      </c>
      <c r="I61" s="18" t="n">
        <v>59.2</v>
      </c>
      <c r="J61" s="18" t="n">
        <v>2.62</v>
      </c>
      <c r="K61" s="18" t="n">
        <v>-22</v>
      </c>
      <c r="L61" s="18" t="n">
        <v>-172</v>
      </c>
      <c r="M61" s="18" t="n">
        <v>-169</v>
      </c>
      <c r="N61" s="18"/>
      <c r="O61" s="18"/>
      <c r="P61" s="18"/>
      <c r="Q61" s="18" t="s">
        <v>55</v>
      </c>
      <c r="R61" s="20" t="n">
        <v>-1</v>
      </c>
      <c r="S61" s="26" t="n">
        <v>0.85</v>
      </c>
      <c r="T61" s="18" t="s">
        <v>127</v>
      </c>
    </row>
    <row r="62" customFormat="false" ht="15" hidden="false" customHeight="false" outlineLevel="0" collapsed="false">
      <c r="A62" s="16" t="s">
        <v>272</v>
      </c>
      <c r="B62" s="16" t="s">
        <v>42</v>
      </c>
      <c r="C62" s="16" t="s">
        <v>273</v>
      </c>
      <c r="D62" s="16" t="s">
        <v>43</v>
      </c>
      <c r="E62" s="16" t="n">
        <v>187.228</v>
      </c>
      <c r="F62" s="16" t="n">
        <v>187.106</v>
      </c>
      <c r="G62" s="16" t="n">
        <v>187.852</v>
      </c>
      <c r="H62" s="16" t="n">
        <v>12.2</v>
      </c>
      <c r="I62" s="16" t="n">
        <v>62.4</v>
      </c>
      <c r="J62" s="16" t="n">
        <v>5.11</v>
      </c>
      <c r="K62" s="16" t="n">
        <v>-3</v>
      </c>
      <c r="L62" s="16" t="n">
        <v>-15</v>
      </c>
      <c r="M62" s="16" t="n">
        <v>-3</v>
      </c>
      <c r="N62" s="16"/>
      <c r="O62" s="16"/>
      <c r="P62" s="16"/>
      <c r="Q62" s="16" t="s">
        <v>59</v>
      </c>
      <c r="R62" s="23" t="n">
        <v>-0.25</v>
      </c>
      <c r="S62" s="25" t="n">
        <v>0.75</v>
      </c>
      <c r="T62" s="16" t="s">
        <v>129</v>
      </c>
    </row>
    <row r="63" customFormat="false" ht="15" hidden="false" customHeight="false" outlineLevel="0" collapsed="false">
      <c r="A63" s="18" t="s">
        <v>274</v>
      </c>
      <c r="B63" s="18" t="s">
        <v>134</v>
      </c>
      <c r="C63" s="18" t="s">
        <v>275</v>
      </c>
      <c r="D63" s="18" t="s">
        <v>161</v>
      </c>
      <c r="E63" s="18" t="n">
        <v>214.715</v>
      </c>
      <c r="F63" s="18" t="n">
        <v>215.092</v>
      </c>
      <c r="G63" s="18" t="n">
        <v>213.999</v>
      </c>
      <c r="H63" s="18" t="n">
        <v>37.7</v>
      </c>
      <c r="I63" s="18" t="n">
        <v>71.6</v>
      </c>
      <c r="J63" s="18" t="n">
        <v>1.9</v>
      </c>
      <c r="K63" s="18" t="n">
        <v>312</v>
      </c>
      <c r="L63" s="18" t="n">
        <v>-75</v>
      </c>
      <c r="M63" s="18" t="n">
        <v>312</v>
      </c>
      <c r="N63" s="18" t="s">
        <v>156</v>
      </c>
      <c r="O63" s="18" t="s">
        <v>156</v>
      </c>
      <c r="P63" s="18"/>
      <c r="Q63" s="18" t="s">
        <v>51</v>
      </c>
      <c r="R63" s="20" t="n">
        <v>4.64</v>
      </c>
      <c r="S63" s="26" t="n">
        <v>0.75</v>
      </c>
      <c r="T63" s="18" t="s">
        <v>130</v>
      </c>
    </row>
    <row r="64" customFormat="false" ht="15" hidden="false" customHeight="false" outlineLevel="0" collapsed="false">
      <c r="A64" s="16" t="s">
        <v>276</v>
      </c>
      <c r="B64" s="16" t="s">
        <v>42</v>
      </c>
      <c r="C64" s="16" t="s">
        <v>277</v>
      </c>
      <c r="D64" s="16" t="s">
        <v>161</v>
      </c>
      <c r="E64" s="16" t="n">
        <v>186.94</v>
      </c>
      <c r="F64" s="16" t="n">
        <v>187.389</v>
      </c>
      <c r="G64" s="16" t="n">
        <v>186.452</v>
      </c>
      <c r="H64" s="16" t="n">
        <v>44.9</v>
      </c>
      <c r="I64" s="16" t="n">
        <v>48.8</v>
      </c>
      <c r="J64" s="16" t="n">
        <v>1.09</v>
      </c>
      <c r="K64" s="16" t="n">
        <v>270</v>
      </c>
      <c r="L64" s="16" t="n">
        <v>163</v>
      </c>
      <c r="M64" s="16" t="n">
        <v>270</v>
      </c>
      <c r="N64" s="16" t="s">
        <v>156</v>
      </c>
      <c r="O64" s="16" t="s">
        <v>156</v>
      </c>
      <c r="P64" s="16"/>
      <c r="Q64" s="16" t="s">
        <v>51</v>
      </c>
      <c r="R64" s="22" t="n">
        <v>3.51</v>
      </c>
      <c r="S64" s="25" t="n">
        <v>0.85</v>
      </c>
      <c r="T64" s="16" t="s">
        <v>128</v>
      </c>
    </row>
    <row r="65" customFormat="false" ht="15" hidden="false" customHeight="false" outlineLevel="0" collapsed="false">
      <c r="A65" s="18" t="s">
        <v>278</v>
      </c>
      <c r="B65" s="18" t="s">
        <v>134</v>
      </c>
      <c r="C65" s="18" t="s">
        <v>279</v>
      </c>
      <c r="D65" s="18" t="s">
        <v>161</v>
      </c>
      <c r="E65" s="18" t="n">
        <v>214.571</v>
      </c>
      <c r="F65" s="18" t="n">
        <v>214.966</v>
      </c>
      <c r="G65" s="18" t="n">
        <v>213.792</v>
      </c>
      <c r="H65" s="18" t="n">
        <v>39.5</v>
      </c>
      <c r="I65" s="18" t="n">
        <v>77.9</v>
      </c>
      <c r="J65" s="18" t="n">
        <v>1.97</v>
      </c>
      <c r="K65" s="18" t="n">
        <v>168</v>
      </c>
      <c r="L65" s="18" t="n">
        <v>31</v>
      </c>
      <c r="M65" s="18" t="n">
        <v>168</v>
      </c>
      <c r="N65" s="18" t="s">
        <v>156</v>
      </c>
      <c r="O65" s="18" t="s">
        <v>156</v>
      </c>
      <c r="P65" s="18"/>
      <c r="Q65" s="18" t="s">
        <v>51</v>
      </c>
      <c r="R65" s="20" t="n">
        <v>2.63</v>
      </c>
      <c r="S65" s="26" t="n">
        <v>0.75</v>
      </c>
      <c r="T65" s="18" t="s">
        <v>130</v>
      </c>
    </row>
    <row r="66" customFormat="false" ht="15" hidden="false" customHeight="false" outlineLevel="0" collapsed="false">
      <c r="A66" s="16" t="s">
        <v>280</v>
      </c>
      <c r="B66" s="16" t="s">
        <v>133</v>
      </c>
      <c r="C66" s="16" t="s">
        <v>281</v>
      </c>
      <c r="D66" s="16" t="s">
        <v>43</v>
      </c>
      <c r="E66" s="16" t="n">
        <v>1.18244</v>
      </c>
      <c r="F66" s="16" t="n">
        <v>1.17944</v>
      </c>
      <c r="G66" s="16" t="n">
        <v>1.18769</v>
      </c>
      <c r="H66" s="16" t="n">
        <v>30</v>
      </c>
      <c r="I66" s="16" t="n">
        <v>52.5</v>
      </c>
      <c r="J66" s="16" t="n">
        <v>1.75</v>
      </c>
      <c r="K66" s="16" t="n">
        <v>23</v>
      </c>
      <c r="L66" s="16" t="n">
        <v>23</v>
      </c>
      <c r="M66" s="16" t="n">
        <v>23</v>
      </c>
      <c r="N66" s="16" t="s">
        <v>156</v>
      </c>
      <c r="O66" s="16" t="s">
        <v>156</v>
      </c>
      <c r="P66" s="16"/>
      <c r="Q66" s="16" t="s">
        <v>51</v>
      </c>
      <c r="R66" s="22" t="n">
        <v>0.88</v>
      </c>
      <c r="S66" s="25" t="n">
        <v>0.75</v>
      </c>
      <c r="T66" s="16" t="s">
        <v>129</v>
      </c>
    </row>
    <row r="67" customFormat="false" ht="15" hidden="false" customHeight="false" outlineLevel="0" collapsed="false">
      <c r="A67" s="18" t="s">
        <v>282</v>
      </c>
      <c r="B67" s="18" t="s">
        <v>42</v>
      </c>
      <c r="C67" s="18" t="s">
        <v>283</v>
      </c>
      <c r="D67" s="18" t="s">
        <v>161</v>
      </c>
      <c r="E67" s="18" t="n">
        <v>186.795</v>
      </c>
      <c r="F67" s="18" t="n">
        <v>187.18</v>
      </c>
      <c r="G67" s="18" t="n">
        <v>186.078</v>
      </c>
      <c r="H67" s="18" t="n">
        <v>38.5</v>
      </c>
      <c r="I67" s="18" t="n">
        <v>71.7</v>
      </c>
      <c r="J67" s="18" t="n">
        <v>1.86</v>
      </c>
      <c r="K67" s="18" t="n">
        <v>125</v>
      </c>
      <c r="L67" s="18" t="n">
        <v>125</v>
      </c>
      <c r="M67" s="18" t="n">
        <v>125</v>
      </c>
      <c r="N67" s="18" t="s">
        <v>156</v>
      </c>
      <c r="O67" s="18"/>
      <c r="P67" s="18"/>
      <c r="Q67" s="18" t="s">
        <v>53</v>
      </c>
      <c r="R67" s="20" t="n">
        <v>0</v>
      </c>
      <c r="S67" s="26" t="n">
        <v>0.85</v>
      </c>
      <c r="T67" s="18" t="s">
        <v>128</v>
      </c>
    </row>
    <row r="68" customFormat="false" ht="15" hidden="false" customHeight="false" outlineLevel="0" collapsed="false">
      <c r="A68" s="16" t="s">
        <v>284</v>
      </c>
      <c r="B68" s="16" t="s">
        <v>133</v>
      </c>
      <c r="C68" s="16" t="s">
        <v>285</v>
      </c>
      <c r="D68" s="16" t="s">
        <v>43</v>
      </c>
      <c r="E68" s="16" t="n">
        <v>1.18291</v>
      </c>
      <c r="F68" s="16" t="n">
        <v>1.17963</v>
      </c>
      <c r="G68" s="16" t="n">
        <v>1.18807</v>
      </c>
      <c r="H68" s="16" t="n">
        <v>32.8</v>
      </c>
      <c r="I68" s="16" t="n">
        <v>51.6</v>
      </c>
      <c r="J68" s="16" t="n">
        <v>1.57</v>
      </c>
      <c r="K68" s="16" t="n">
        <v>0</v>
      </c>
      <c r="L68" s="16" t="n">
        <v>0</v>
      </c>
      <c r="M68" s="16" t="n">
        <v>0</v>
      </c>
      <c r="N68" s="16"/>
      <c r="O68" s="16"/>
      <c r="P68" s="16"/>
      <c r="Q68" s="16" t="s">
        <v>59</v>
      </c>
      <c r="R68" s="27" t="n">
        <v>0</v>
      </c>
      <c r="S68" s="25" t="n">
        <v>0.75</v>
      </c>
      <c r="T68" s="16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2"/>
  </cols>
  <sheetData>
    <row r="1" customFormat="false" ht="17.25" hidden="false" customHeight="true" outlineLevel="0" collapsed="false">
      <c r="A1" s="28" t="s">
        <v>286</v>
      </c>
    </row>
    <row r="3" customFormat="false" ht="15" hidden="false" customHeight="true" outlineLevel="0" collapsed="false">
      <c r="A3" s="5" t="s">
        <v>3</v>
      </c>
      <c r="B3" s="5" t="s">
        <v>4</v>
      </c>
    </row>
    <row r="4" customFormat="false" ht="15" hidden="false" customHeight="true" outlineLevel="0" collapsed="false">
      <c r="A4" s="6" t="s">
        <v>6</v>
      </c>
      <c r="B4" s="6" t="n">
        <v>107</v>
      </c>
    </row>
    <row r="5" customFormat="false" ht="15" hidden="false" customHeight="true" outlineLevel="0" collapsed="false">
      <c r="A5" s="8" t="s">
        <v>7</v>
      </c>
      <c r="B5" s="8" t="n">
        <v>141</v>
      </c>
    </row>
    <row r="6" customFormat="false" ht="15" hidden="false" customHeight="true" outlineLevel="0" collapsed="false">
      <c r="A6" s="6" t="s">
        <v>8</v>
      </c>
      <c r="B6" s="6" t="n">
        <v>68</v>
      </c>
    </row>
    <row r="7" customFormat="false" ht="15" hidden="false" customHeight="true" outlineLevel="0" collapsed="false">
      <c r="A7" s="8" t="s">
        <v>9</v>
      </c>
      <c r="B7" s="8" t="n">
        <v>65</v>
      </c>
    </row>
    <row r="8" customFormat="false" ht="15" hidden="false" customHeight="true" outlineLevel="0" collapsed="false">
      <c r="A8" s="6" t="s">
        <v>10</v>
      </c>
      <c r="B8" s="6" t="n">
        <v>3</v>
      </c>
    </row>
    <row r="9" customFormat="false" ht="15" hidden="false" customHeight="true" outlineLevel="0" collapsed="false">
      <c r="A9" s="8" t="s">
        <v>11</v>
      </c>
      <c r="B9" s="8" t="n">
        <v>27</v>
      </c>
    </row>
    <row r="10" customFormat="false" ht="15" hidden="false" customHeight="true" outlineLevel="0" collapsed="false">
      <c r="A10" s="6" t="s">
        <v>12</v>
      </c>
      <c r="B10" s="6" t="n">
        <v>65</v>
      </c>
    </row>
    <row r="11" customFormat="false" ht="15" hidden="false" customHeight="true" outlineLevel="0" collapsed="false">
      <c r="A11" s="8" t="s">
        <v>13</v>
      </c>
      <c r="B11" s="8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3" min="3" style="1" width="8"/>
    <col collapsed="false" customWidth="true" hidden="false" outlineLevel="0" max="4" min="4" style="1" width="26"/>
    <col collapsed="false" customWidth="true" hidden="false" outlineLevel="0" max="6" min="5" style="1" width="12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9" min="9" style="1" width="80"/>
  </cols>
  <sheetData>
    <row r="1" customFormat="false" ht="15" hidden="false" customHeight="true" outlineLevel="0" collapsed="false">
      <c r="A1" s="5" t="s">
        <v>287</v>
      </c>
      <c r="B1" s="5" t="s">
        <v>39</v>
      </c>
      <c r="C1" s="5" t="s">
        <v>288</v>
      </c>
      <c r="D1" s="5" t="s">
        <v>124</v>
      </c>
      <c r="E1" s="5" t="s">
        <v>289</v>
      </c>
      <c r="F1" s="5" t="s">
        <v>290</v>
      </c>
      <c r="G1" s="5" t="s">
        <v>291</v>
      </c>
      <c r="H1" s="5" t="s">
        <v>292</v>
      </c>
      <c r="I1" s="5" t="s">
        <v>293</v>
      </c>
    </row>
    <row r="2" customFormat="false" ht="15" hidden="false" customHeight="true" outlineLevel="0" collapsed="false">
      <c r="A2" s="6" t="s">
        <v>294</v>
      </c>
      <c r="B2" s="6" t="s">
        <v>134</v>
      </c>
      <c r="C2" s="6" t="s">
        <v>43</v>
      </c>
      <c r="D2" s="6" t="s">
        <v>129</v>
      </c>
      <c r="E2" s="29" t="n">
        <v>0.75</v>
      </c>
      <c r="F2" s="6" t="s">
        <v>295</v>
      </c>
      <c r="G2" s="30" t="s">
        <v>155</v>
      </c>
      <c r="H2" s="6" t="n">
        <v>215.588</v>
      </c>
      <c r="I2" s="6" t="s">
        <v>296</v>
      </c>
    </row>
    <row r="3" customFormat="false" ht="15" hidden="false" customHeight="true" outlineLevel="0" collapsed="false">
      <c r="A3" s="8" t="s">
        <v>297</v>
      </c>
      <c r="B3" s="8" t="s">
        <v>134</v>
      </c>
      <c r="C3" s="8" t="s">
        <v>43</v>
      </c>
      <c r="D3" s="8" t="s">
        <v>129</v>
      </c>
      <c r="E3" s="31" t="n">
        <v>0.75</v>
      </c>
      <c r="F3" s="8" t="s">
        <v>295</v>
      </c>
      <c r="G3" s="8" t="s">
        <v>155</v>
      </c>
      <c r="H3" s="8" t="n">
        <v>215.588</v>
      </c>
      <c r="I3" s="8" t="s">
        <v>296</v>
      </c>
    </row>
    <row r="4" customFormat="false" ht="15" hidden="false" customHeight="true" outlineLevel="0" collapsed="false">
      <c r="A4" s="6" t="s">
        <v>298</v>
      </c>
      <c r="B4" s="6" t="s">
        <v>134</v>
      </c>
      <c r="C4" s="6" t="s">
        <v>43</v>
      </c>
      <c r="D4" s="6" t="s">
        <v>129</v>
      </c>
      <c r="E4" s="29" t="n">
        <v>0.75</v>
      </c>
      <c r="F4" s="6" t="s">
        <v>295</v>
      </c>
      <c r="G4" s="30" t="s">
        <v>155</v>
      </c>
      <c r="H4" s="6" t="n">
        <v>215.588</v>
      </c>
      <c r="I4" s="6" t="s">
        <v>296</v>
      </c>
    </row>
    <row r="5" customFormat="false" ht="15" hidden="false" customHeight="true" outlineLevel="0" collapsed="false">
      <c r="A5" s="8" t="s">
        <v>299</v>
      </c>
      <c r="B5" s="8" t="s">
        <v>134</v>
      </c>
      <c r="C5" s="8" t="s">
        <v>43</v>
      </c>
      <c r="D5" s="8" t="s">
        <v>129</v>
      </c>
      <c r="E5" s="31" t="n">
        <v>0.75</v>
      </c>
      <c r="F5" s="8" t="s">
        <v>295</v>
      </c>
      <c r="G5" s="8" t="s">
        <v>155</v>
      </c>
      <c r="H5" s="8" t="n">
        <v>215.588</v>
      </c>
      <c r="I5" s="8" t="s">
        <v>296</v>
      </c>
    </row>
    <row r="6" customFormat="false" ht="15" hidden="false" customHeight="true" outlineLevel="0" collapsed="false">
      <c r="A6" s="6" t="s">
        <v>300</v>
      </c>
      <c r="B6" s="6" t="s">
        <v>134</v>
      </c>
      <c r="C6" s="6" t="s">
        <v>43</v>
      </c>
      <c r="D6" s="6" t="s">
        <v>129</v>
      </c>
      <c r="E6" s="29" t="n">
        <v>0.75</v>
      </c>
      <c r="F6" s="6" t="s">
        <v>295</v>
      </c>
      <c r="G6" s="30" t="s">
        <v>155</v>
      </c>
      <c r="H6" s="6" t="n">
        <v>215.588</v>
      </c>
      <c r="I6" s="6" t="s">
        <v>296</v>
      </c>
    </row>
    <row r="7" customFormat="false" ht="15" hidden="false" customHeight="true" outlineLevel="0" collapsed="false">
      <c r="A7" s="8" t="s">
        <v>301</v>
      </c>
      <c r="B7" s="8" t="s">
        <v>134</v>
      </c>
      <c r="C7" s="8" t="s">
        <v>43</v>
      </c>
      <c r="D7" s="8" t="s">
        <v>129</v>
      </c>
      <c r="E7" s="31" t="n">
        <v>0.75</v>
      </c>
      <c r="F7" s="8" t="s">
        <v>295</v>
      </c>
      <c r="G7" s="8" t="s">
        <v>155</v>
      </c>
      <c r="H7" s="8" t="n">
        <v>215.588</v>
      </c>
      <c r="I7" s="8" t="s">
        <v>296</v>
      </c>
    </row>
    <row r="8" customFormat="false" ht="15" hidden="false" customHeight="true" outlineLevel="0" collapsed="false">
      <c r="A8" s="6" t="s">
        <v>302</v>
      </c>
      <c r="B8" s="6" t="s">
        <v>134</v>
      </c>
      <c r="C8" s="6" t="s">
        <v>43</v>
      </c>
      <c r="D8" s="6" t="s">
        <v>129</v>
      </c>
      <c r="E8" s="29" t="n">
        <v>0.75</v>
      </c>
      <c r="F8" s="6" t="s">
        <v>295</v>
      </c>
      <c r="G8" s="30" t="s">
        <v>155</v>
      </c>
      <c r="H8" s="6" t="n">
        <v>215.588</v>
      </c>
      <c r="I8" s="6" t="s">
        <v>296</v>
      </c>
    </row>
    <row r="9" customFormat="false" ht="15" hidden="false" customHeight="true" outlineLevel="0" collapsed="false">
      <c r="A9" s="8" t="s">
        <v>303</v>
      </c>
      <c r="B9" s="8" t="s">
        <v>134</v>
      </c>
      <c r="C9" s="8" t="s">
        <v>43</v>
      </c>
      <c r="D9" s="8" t="s">
        <v>129</v>
      </c>
      <c r="E9" s="31" t="n">
        <v>0.75</v>
      </c>
      <c r="F9" s="8" t="s">
        <v>295</v>
      </c>
      <c r="G9" s="8" t="s">
        <v>155</v>
      </c>
      <c r="H9" s="8" t="n">
        <v>215.588</v>
      </c>
      <c r="I9" s="8" t="s">
        <v>296</v>
      </c>
    </row>
    <row r="10" customFormat="false" ht="15" hidden="false" customHeight="true" outlineLevel="0" collapsed="false">
      <c r="A10" s="6" t="s">
        <v>304</v>
      </c>
      <c r="B10" s="6" t="s">
        <v>134</v>
      </c>
      <c r="C10" s="6" t="s">
        <v>43</v>
      </c>
      <c r="D10" s="6" t="s">
        <v>129</v>
      </c>
      <c r="E10" s="29" t="n">
        <v>0.75</v>
      </c>
      <c r="F10" s="6" t="s">
        <v>295</v>
      </c>
      <c r="G10" s="30" t="s">
        <v>155</v>
      </c>
      <c r="H10" s="6" t="n">
        <v>215.588</v>
      </c>
      <c r="I10" s="6" t="s">
        <v>296</v>
      </c>
    </row>
    <row r="11" customFormat="false" ht="15" hidden="false" customHeight="true" outlineLevel="0" collapsed="false">
      <c r="A11" s="8" t="s">
        <v>305</v>
      </c>
      <c r="B11" s="8" t="s">
        <v>134</v>
      </c>
      <c r="C11" s="8" t="s">
        <v>43</v>
      </c>
      <c r="D11" s="8" t="s">
        <v>129</v>
      </c>
      <c r="E11" s="31" t="n">
        <v>0.75</v>
      </c>
      <c r="F11" s="8" t="s">
        <v>295</v>
      </c>
      <c r="G11" s="8" t="s">
        <v>155</v>
      </c>
      <c r="H11" s="8" t="n">
        <v>215.588</v>
      </c>
      <c r="I11" s="8" t="s">
        <v>296</v>
      </c>
    </row>
    <row r="12" customFormat="false" ht="15" hidden="false" customHeight="true" outlineLevel="0" collapsed="false">
      <c r="A12" s="6" t="s">
        <v>306</v>
      </c>
      <c r="B12" s="6" t="s">
        <v>134</v>
      </c>
      <c r="C12" s="6" t="s">
        <v>43</v>
      </c>
      <c r="D12" s="6" t="s">
        <v>129</v>
      </c>
      <c r="E12" s="29" t="n">
        <v>0.75</v>
      </c>
      <c r="F12" s="6" t="s">
        <v>295</v>
      </c>
      <c r="G12" s="30" t="s">
        <v>155</v>
      </c>
      <c r="H12" s="6" t="n">
        <v>215.588</v>
      </c>
      <c r="I12" s="6" t="s">
        <v>296</v>
      </c>
    </row>
    <row r="13" customFormat="false" ht="15" hidden="false" customHeight="true" outlineLevel="0" collapsed="false">
      <c r="A13" s="8" t="s">
        <v>307</v>
      </c>
      <c r="B13" s="8" t="s">
        <v>134</v>
      </c>
      <c r="C13" s="8" t="s">
        <v>43</v>
      </c>
      <c r="D13" s="8" t="s">
        <v>129</v>
      </c>
      <c r="E13" s="31" t="n">
        <v>0.75</v>
      </c>
      <c r="F13" s="8" t="s">
        <v>295</v>
      </c>
      <c r="G13" s="8" t="s">
        <v>158</v>
      </c>
      <c r="H13" s="8" t="n">
        <v>215.642</v>
      </c>
      <c r="I13" s="8" t="s">
        <v>296</v>
      </c>
    </row>
    <row r="14" customFormat="false" ht="15" hidden="false" customHeight="true" outlineLevel="0" collapsed="false">
      <c r="A14" s="6" t="s">
        <v>308</v>
      </c>
      <c r="B14" s="6" t="s">
        <v>134</v>
      </c>
      <c r="C14" s="6" t="s">
        <v>43</v>
      </c>
      <c r="D14" s="6" t="s">
        <v>129</v>
      </c>
      <c r="E14" s="29" t="n">
        <v>0.75</v>
      </c>
      <c r="F14" s="6" t="s">
        <v>295</v>
      </c>
      <c r="G14" s="30" t="s">
        <v>158</v>
      </c>
      <c r="H14" s="6" t="n">
        <v>215.642</v>
      </c>
      <c r="I14" s="6" t="s">
        <v>296</v>
      </c>
    </row>
    <row r="15" customFormat="false" ht="15" hidden="false" customHeight="true" outlineLevel="0" collapsed="false">
      <c r="A15" s="8" t="s">
        <v>309</v>
      </c>
      <c r="B15" s="8" t="s">
        <v>134</v>
      </c>
      <c r="C15" s="8" t="s">
        <v>43</v>
      </c>
      <c r="D15" s="8" t="s">
        <v>129</v>
      </c>
      <c r="E15" s="31" t="n">
        <v>0.75</v>
      </c>
      <c r="F15" s="8" t="s">
        <v>295</v>
      </c>
      <c r="G15" s="8" t="s">
        <v>158</v>
      </c>
      <c r="H15" s="8" t="n">
        <v>215.642</v>
      </c>
      <c r="I15" s="8" t="s">
        <v>296</v>
      </c>
    </row>
    <row r="16" customFormat="false" ht="15" hidden="false" customHeight="true" outlineLevel="0" collapsed="false">
      <c r="A16" s="6" t="s">
        <v>157</v>
      </c>
      <c r="B16" s="6" t="s">
        <v>134</v>
      </c>
      <c r="C16" s="6" t="s">
        <v>43</v>
      </c>
      <c r="D16" s="6" t="s">
        <v>129</v>
      </c>
      <c r="E16" s="29" t="n">
        <v>0.75</v>
      </c>
      <c r="F16" s="6" t="s">
        <v>295</v>
      </c>
      <c r="G16" s="30" t="s">
        <v>158</v>
      </c>
      <c r="H16" s="6" t="n">
        <v>215.642</v>
      </c>
      <c r="I16" s="6" t="s">
        <v>296</v>
      </c>
    </row>
    <row r="17" customFormat="false" ht="15" hidden="false" customHeight="true" outlineLevel="0" collapsed="false">
      <c r="A17" s="8" t="s">
        <v>159</v>
      </c>
      <c r="B17" s="8" t="s">
        <v>134</v>
      </c>
      <c r="C17" s="8" t="s">
        <v>161</v>
      </c>
      <c r="D17" s="8" t="s">
        <v>128</v>
      </c>
      <c r="E17" s="31" t="n">
        <v>0.85</v>
      </c>
      <c r="F17" s="8" t="s">
        <v>295</v>
      </c>
      <c r="G17" s="8" t="s">
        <v>160</v>
      </c>
      <c r="H17" s="8" t="n">
        <v>215.533</v>
      </c>
      <c r="I17" s="8" t="s">
        <v>310</v>
      </c>
    </row>
    <row r="18" customFormat="false" ht="15" hidden="false" customHeight="true" outlineLevel="0" collapsed="false">
      <c r="A18" s="6" t="s">
        <v>162</v>
      </c>
      <c r="B18" s="6" t="s">
        <v>134</v>
      </c>
      <c r="C18" s="6" t="s">
        <v>161</v>
      </c>
      <c r="D18" s="6" t="s">
        <v>130</v>
      </c>
      <c r="E18" s="29" t="n">
        <v>0.75</v>
      </c>
      <c r="F18" s="6" t="s">
        <v>295</v>
      </c>
      <c r="G18" s="30" t="s">
        <v>163</v>
      </c>
      <c r="H18" s="6" t="n">
        <v>215.222</v>
      </c>
      <c r="I18" s="6" t="s">
        <v>311</v>
      </c>
    </row>
    <row r="19" customFormat="false" ht="15" hidden="false" customHeight="true" outlineLevel="0" collapsed="false">
      <c r="A19" s="8" t="s">
        <v>164</v>
      </c>
      <c r="B19" s="8" t="s">
        <v>133</v>
      </c>
      <c r="C19" s="8" t="s">
        <v>43</v>
      </c>
      <c r="D19" s="8" t="s">
        <v>129</v>
      </c>
      <c r="E19" s="31" t="n">
        <v>0.75</v>
      </c>
      <c r="F19" s="8" t="s">
        <v>295</v>
      </c>
      <c r="G19" s="8" t="s">
        <v>165</v>
      </c>
      <c r="H19" s="8" t="n">
        <v>1.18111</v>
      </c>
      <c r="I19" s="8" t="s">
        <v>312</v>
      </c>
    </row>
    <row r="20" customFormat="false" ht="15" hidden="false" customHeight="true" outlineLevel="0" collapsed="false">
      <c r="A20" s="6" t="s">
        <v>166</v>
      </c>
      <c r="B20" s="6" t="s">
        <v>135</v>
      </c>
      <c r="C20" s="6" t="s">
        <v>43</v>
      </c>
      <c r="D20" s="6" t="s">
        <v>129</v>
      </c>
      <c r="E20" s="29" t="n">
        <v>0.75</v>
      </c>
      <c r="F20" s="6" t="s">
        <v>295</v>
      </c>
      <c r="G20" s="30" t="s">
        <v>167</v>
      </c>
      <c r="H20" s="6" t="n">
        <v>1.35798</v>
      </c>
      <c r="I20" s="6" t="s">
        <v>313</v>
      </c>
    </row>
    <row r="21" customFormat="false" ht="15" hidden="false" customHeight="true" outlineLevel="0" collapsed="false">
      <c r="A21" s="8" t="s">
        <v>168</v>
      </c>
      <c r="B21" s="8" t="s">
        <v>134</v>
      </c>
      <c r="C21" s="8" t="s">
        <v>43</v>
      </c>
      <c r="D21" s="8" t="s">
        <v>127</v>
      </c>
      <c r="E21" s="31" t="n">
        <v>0.85</v>
      </c>
      <c r="F21" s="8" t="s">
        <v>295</v>
      </c>
      <c r="G21" s="8" t="s">
        <v>169</v>
      </c>
      <c r="H21" s="8" t="n">
        <v>215.513</v>
      </c>
      <c r="I21" s="8" t="s">
        <v>314</v>
      </c>
    </row>
    <row r="22" customFormat="false" ht="15" hidden="false" customHeight="true" outlineLevel="0" collapsed="false">
      <c r="A22" s="6" t="s">
        <v>170</v>
      </c>
      <c r="B22" s="6" t="s">
        <v>134</v>
      </c>
      <c r="C22" s="6" t="s">
        <v>43</v>
      </c>
      <c r="D22" s="6" t="s">
        <v>127</v>
      </c>
      <c r="E22" s="29" t="n">
        <v>0.85</v>
      </c>
      <c r="F22" s="6" t="s">
        <v>295</v>
      </c>
      <c r="G22" s="30" t="s">
        <v>171</v>
      </c>
      <c r="H22" s="6" t="n">
        <v>215.682</v>
      </c>
      <c r="I22" s="6" t="s">
        <v>315</v>
      </c>
    </row>
    <row r="23" customFormat="false" ht="15" hidden="false" customHeight="true" outlineLevel="0" collapsed="false">
      <c r="A23" s="8" t="s">
        <v>172</v>
      </c>
      <c r="B23" s="8" t="s">
        <v>134</v>
      </c>
      <c r="C23" s="8" t="s">
        <v>43</v>
      </c>
      <c r="D23" s="8" t="s">
        <v>127</v>
      </c>
      <c r="E23" s="31" t="n">
        <v>0.85</v>
      </c>
      <c r="F23" s="8" t="s">
        <v>295</v>
      </c>
      <c r="G23" s="8" t="s">
        <v>173</v>
      </c>
      <c r="H23" s="8" t="n">
        <v>215.647</v>
      </c>
      <c r="I23" s="8" t="s">
        <v>316</v>
      </c>
    </row>
    <row r="24" customFormat="false" ht="15" hidden="false" customHeight="true" outlineLevel="0" collapsed="false">
      <c r="A24" s="6" t="s">
        <v>317</v>
      </c>
      <c r="B24" s="6" t="s">
        <v>134</v>
      </c>
      <c r="C24" s="6" t="s">
        <v>161</v>
      </c>
      <c r="D24" s="6" t="s">
        <v>128</v>
      </c>
      <c r="E24" s="29" t="n">
        <v>0.85</v>
      </c>
      <c r="F24" s="6" t="s">
        <v>295</v>
      </c>
      <c r="G24" s="6"/>
      <c r="H24" s="6"/>
      <c r="I24" s="6" t="s">
        <v>318</v>
      </c>
    </row>
    <row r="25" customFormat="false" ht="15" hidden="false" customHeight="true" outlineLevel="0" collapsed="false">
      <c r="A25" s="8" t="s">
        <v>319</v>
      </c>
      <c r="B25" s="8" t="s">
        <v>134</v>
      </c>
      <c r="C25" s="8" t="s">
        <v>161</v>
      </c>
      <c r="D25" s="8" t="s">
        <v>128</v>
      </c>
      <c r="E25" s="31" t="n">
        <v>0.85</v>
      </c>
      <c r="F25" s="8" t="s">
        <v>295</v>
      </c>
      <c r="G25" s="8"/>
      <c r="H25" s="8"/>
      <c r="I25" s="8" t="s">
        <v>318</v>
      </c>
    </row>
    <row r="26" customFormat="false" ht="15" hidden="false" customHeight="true" outlineLevel="0" collapsed="false">
      <c r="A26" s="6" t="s">
        <v>320</v>
      </c>
      <c r="B26" s="6" t="s">
        <v>134</v>
      </c>
      <c r="C26" s="6" t="s">
        <v>161</v>
      </c>
      <c r="D26" s="6" t="s">
        <v>128</v>
      </c>
      <c r="E26" s="29" t="n">
        <v>0.85</v>
      </c>
      <c r="F26" s="6" t="s">
        <v>295</v>
      </c>
      <c r="G26" s="6"/>
      <c r="H26" s="6"/>
      <c r="I26" s="6" t="s">
        <v>321</v>
      </c>
    </row>
    <row r="27" customFormat="false" ht="15" hidden="false" customHeight="true" outlineLevel="0" collapsed="false">
      <c r="A27" s="8" t="s">
        <v>322</v>
      </c>
      <c r="B27" s="8" t="s">
        <v>134</v>
      </c>
      <c r="C27" s="8" t="s">
        <v>161</v>
      </c>
      <c r="D27" s="8" t="s">
        <v>128</v>
      </c>
      <c r="E27" s="31" t="n">
        <v>0.85</v>
      </c>
      <c r="F27" s="8" t="s">
        <v>295</v>
      </c>
      <c r="G27" s="8"/>
      <c r="H27" s="8"/>
      <c r="I27" s="8" t="s">
        <v>323</v>
      </c>
    </row>
    <row r="28" customFormat="false" ht="15" hidden="false" customHeight="true" outlineLevel="0" collapsed="false">
      <c r="A28" s="6" t="s">
        <v>324</v>
      </c>
      <c r="B28" s="6" t="s">
        <v>134</v>
      </c>
      <c r="C28" s="6" t="s">
        <v>161</v>
      </c>
      <c r="D28" s="6" t="s">
        <v>128</v>
      </c>
      <c r="E28" s="29" t="n">
        <v>0.85</v>
      </c>
      <c r="F28" s="6" t="s">
        <v>295</v>
      </c>
      <c r="G28" s="6"/>
      <c r="H28" s="6"/>
      <c r="I28" s="6" t="s">
        <v>323</v>
      </c>
    </row>
    <row r="29" customFormat="false" ht="15" hidden="false" customHeight="true" outlineLevel="0" collapsed="false">
      <c r="A29" s="8" t="s">
        <v>325</v>
      </c>
      <c r="B29" s="8" t="s">
        <v>134</v>
      </c>
      <c r="C29" s="8" t="s">
        <v>161</v>
      </c>
      <c r="D29" s="8" t="s">
        <v>128</v>
      </c>
      <c r="E29" s="31" t="n">
        <v>0.85</v>
      </c>
      <c r="F29" s="8" t="s">
        <v>295</v>
      </c>
      <c r="G29" s="8"/>
      <c r="H29" s="8"/>
      <c r="I29" s="8" t="s">
        <v>323</v>
      </c>
    </row>
    <row r="30" customFormat="false" ht="15" hidden="false" customHeight="true" outlineLevel="0" collapsed="false">
      <c r="A30" s="6" t="s">
        <v>326</v>
      </c>
      <c r="B30" s="6" t="s">
        <v>134</v>
      </c>
      <c r="C30" s="6" t="s">
        <v>161</v>
      </c>
      <c r="D30" s="6" t="s">
        <v>128</v>
      </c>
      <c r="E30" s="29" t="n">
        <v>0.85</v>
      </c>
      <c r="F30" s="6" t="s">
        <v>295</v>
      </c>
      <c r="G30" s="6"/>
      <c r="H30" s="6"/>
      <c r="I30" s="6" t="s">
        <v>327</v>
      </c>
    </row>
    <row r="31" customFormat="false" ht="15" hidden="false" customHeight="true" outlineLevel="0" collapsed="false">
      <c r="A31" s="8" t="s">
        <v>328</v>
      </c>
      <c r="B31" s="8" t="s">
        <v>134</v>
      </c>
      <c r="C31" s="8" t="s">
        <v>161</v>
      </c>
      <c r="D31" s="8" t="s">
        <v>128</v>
      </c>
      <c r="E31" s="31" t="n">
        <v>0.85</v>
      </c>
      <c r="F31" s="8" t="s">
        <v>295</v>
      </c>
      <c r="G31" s="8"/>
      <c r="H31" s="8"/>
      <c r="I31" s="8" t="s">
        <v>327</v>
      </c>
    </row>
    <row r="32" customFormat="false" ht="15" hidden="false" customHeight="true" outlineLevel="0" collapsed="false">
      <c r="A32" s="6" t="s">
        <v>329</v>
      </c>
      <c r="B32" s="6" t="s">
        <v>134</v>
      </c>
      <c r="C32" s="6" t="s">
        <v>161</v>
      </c>
      <c r="D32" s="6" t="s">
        <v>128</v>
      </c>
      <c r="E32" s="29" t="n">
        <v>0.85</v>
      </c>
      <c r="F32" s="6" t="s">
        <v>295</v>
      </c>
      <c r="G32" s="6"/>
      <c r="H32" s="6"/>
      <c r="I32" s="6" t="s">
        <v>327</v>
      </c>
    </row>
    <row r="33" customFormat="false" ht="15" hidden="false" customHeight="true" outlineLevel="0" collapsed="false">
      <c r="A33" s="8" t="s">
        <v>330</v>
      </c>
      <c r="B33" s="8" t="s">
        <v>134</v>
      </c>
      <c r="C33" s="8" t="s">
        <v>161</v>
      </c>
      <c r="D33" s="8" t="s">
        <v>128</v>
      </c>
      <c r="E33" s="31" t="n">
        <v>0.85</v>
      </c>
      <c r="F33" s="8" t="s">
        <v>295</v>
      </c>
      <c r="G33" s="8"/>
      <c r="H33" s="8"/>
      <c r="I33" s="8" t="s">
        <v>331</v>
      </c>
    </row>
    <row r="34" customFormat="false" ht="15" hidden="false" customHeight="true" outlineLevel="0" collapsed="false">
      <c r="A34" s="6" t="s">
        <v>332</v>
      </c>
      <c r="B34" s="6" t="s">
        <v>134</v>
      </c>
      <c r="C34" s="6" t="s">
        <v>161</v>
      </c>
      <c r="D34" s="6" t="s">
        <v>128</v>
      </c>
      <c r="E34" s="29" t="n">
        <v>0.85</v>
      </c>
      <c r="F34" s="6" t="s">
        <v>295</v>
      </c>
      <c r="G34" s="6"/>
      <c r="H34" s="6"/>
      <c r="I34" s="6" t="s">
        <v>333</v>
      </c>
    </row>
    <row r="35" customFormat="false" ht="15" hidden="false" customHeight="true" outlineLevel="0" collapsed="false">
      <c r="A35" s="8" t="s">
        <v>334</v>
      </c>
      <c r="B35" s="8" t="s">
        <v>134</v>
      </c>
      <c r="C35" s="8" t="s">
        <v>161</v>
      </c>
      <c r="D35" s="8" t="s">
        <v>128</v>
      </c>
      <c r="E35" s="31" t="n">
        <v>0.85</v>
      </c>
      <c r="F35" s="8" t="s">
        <v>295</v>
      </c>
      <c r="G35" s="8"/>
      <c r="H35" s="8"/>
      <c r="I35" s="8" t="s">
        <v>333</v>
      </c>
    </row>
    <row r="36" customFormat="false" ht="15" hidden="false" customHeight="true" outlineLevel="0" collapsed="false">
      <c r="A36" s="6" t="s">
        <v>335</v>
      </c>
      <c r="B36" s="6" t="s">
        <v>134</v>
      </c>
      <c r="C36" s="6" t="s">
        <v>161</v>
      </c>
      <c r="D36" s="6" t="s">
        <v>128</v>
      </c>
      <c r="E36" s="29" t="n">
        <v>0.85</v>
      </c>
      <c r="F36" s="6" t="s">
        <v>295</v>
      </c>
      <c r="G36" s="6"/>
      <c r="H36" s="6"/>
      <c r="I36" s="6" t="s">
        <v>333</v>
      </c>
    </row>
    <row r="37" customFormat="false" ht="15" hidden="false" customHeight="true" outlineLevel="0" collapsed="false">
      <c r="A37" s="8" t="s">
        <v>336</v>
      </c>
      <c r="B37" s="8" t="s">
        <v>134</v>
      </c>
      <c r="C37" s="8" t="s">
        <v>161</v>
      </c>
      <c r="D37" s="8" t="s">
        <v>128</v>
      </c>
      <c r="E37" s="31" t="n">
        <v>0.85</v>
      </c>
      <c r="F37" s="8" t="s">
        <v>295</v>
      </c>
      <c r="G37" s="8"/>
      <c r="H37" s="8"/>
      <c r="I37" s="8" t="s">
        <v>337</v>
      </c>
    </row>
    <row r="38" customFormat="false" ht="15" hidden="false" customHeight="true" outlineLevel="0" collapsed="false">
      <c r="A38" s="6" t="s">
        <v>338</v>
      </c>
      <c r="B38" s="6" t="s">
        <v>134</v>
      </c>
      <c r="C38" s="6" t="s">
        <v>161</v>
      </c>
      <c r="D38" s="6" t="s">
        <v>128</v>
      </c>
      <c r="E38" s="29" t="n">
        <v>0.85</v>
      </c>
      <c r="F38" s="6" t="s">
        <v>295</v>
      </c>
      <c r="G38" s="6"/>
      <c r="H38" s="6"/>
      <c r="I38" s="6" t="s">
        <v>339</v>
      </c>
    </row>
    <row r="39" customFormat="false" ht="15" hidden="false" customHeight="true" outlineLevel="0" collapsed="false">
      <c r="A39" s="8" t="s">
        <v>340</v>
      </c>
      <c r="B39" s="8" t="s">
        <v>134</v>
      </c>
      <c r="C39" s="8" t="s">
        <v>161</v>
      </c>
      <c r="D39" s="8" t="s">
        <v>128</v>
      </c>
      <c r="E39" s="31" t="n">
        <v>0.85</v>
      </c>
      <c r="F39" s="8" t="s">
        <v>295</v>
      </c>
      <c r="G39" s="8"/>
      <c r="H39" s="8"/>
      <c r="I39" s="8" t="s">
        <v>339</v>
      </c>
    </row>
    <row r="40" customFormat="false" ht="15" hidden="false" customHeight="true" outlineLevel="0" collapsed="false">
      <c r="A40" s="6" t="s">
        <v>341</v>
      </c>
      <c r="B40" s="6" t="s">
        <v>134</v>
      </c>
      <c r="C40" s="6" t="s">
        <v>161</v>
      </c>
      <c r="D40" s="6" t="s">
        <v>128</v>
      </c>
      <c r="E40" s="29" t="n">
        <v>0.85</v>
      </c>
      <c r="F40" s="6" t="s">
        <v>295</v>
      </c>
      <c r="G40" s="6"/>
      <c r="H40" s="6"/>
      <c r="I40" s="6" t="s">
        <v>342</v>
      </c>
    </row>
    <row r="41" customFormat="false" ht="15" hidden="false" customHeight="true" outlineLevel="0" collapsed="false">
      <c r="A41" s="8" t="s">
        <v>343</v>
      </c>
      <c r="B41" s="8" t="s">
        <v>134</v>
      </c>
      <c r="C41" s="8" t="s">
        <v>161</v>
      </c>
      <c r="D41" s="8" t="s">
        <v>128</v>
      </c>
      <c r="E41" s="31" t="n">
        <v>0.85</v>
      </c>
      <c r="F41" s="8" t="s">
        <v>295</v>
      </c>
      <c r="G41" s="8"/>
      <c r="H41" s="8"/>
      <c r="I41" s="8" t="s">
        <v>344</v>
      </c>
    </row>
    <row r="42" customFormat="false" ht="15" hidden="false" customHeight="true" outlineLevel="0" collapsed="false">
      <c r="A42" s="6" t="s">
        <v>345</v>
      </c>
      <c r="B42" s="6" t="s">
        <v>134</v>
      </c>
      <c r="C42" s="6" t="s">
        <v>161</v>
      </c>
      <c r="D42" s="6" t="s">
        <v>128</v>
      </c>
      <c r="E42" s="29" t="n">
        <v>0.85</v>
      </c>
      <c r="F42" s="6" t="s">
        <v>295</v>
      </c>
      <c r="G42" s="6"/>
      <c r="H42" s="6"/>
      <c r="I42" s="6" t="s">
        <v>344</v>
      </c>
    </row>
    <row r="43" customFormat="false" ht="15" hidden="false" customHeight="true" outlineLevel="0" collapsed="false">
      <c r="A43" s="8" t="s">
        <v>346</v>
      </c>
      <c r="B43" s="8" t="s">
        <v>134</v>
      </c>
      <c r="C43" s="8" t="s">
        <v>161</v>
      </c>
      <c r="D43" s="8" t="s">
        <v>128</v>
      </c>
      <c r="E43" s="31" t="n">
        <v>0.85</v>
      </c>
      <c r="F43" s="8" t="s">
        <v>295</v>
      </c>
      <c r="G43" s="8"/>
      <c r="H43" s="8"/>
      <c r="I43" s="8" t="s">
        <v>344</v>
      </c>
    </row>
    <row r="44" customFormat="false" ht="15" hidden="false" customHeight="true" outlineLevel="0" collapsed="false">
      <c r="A44" s="6" t="s">
        <v>174</v>
      </c>
      <c r="B44" s="6" t="s">
        <v>135</v>
      </c>
      <c r="C44" s="6" t="s">
        <v>161</v>
      </c>
      <c r="D44" s="6" t="s">
        <v>130</v>
      </c>
      <c r="E44" s="29" t="n">
        <v>0.85</v>
      </c>
      <c r="F44" s="6" t="s">
        <v>295</v>
      </c>
      <c r="G44" s="30" t="s">
        <v>175</v>
      </c>
      <c r="H44" s="6" t="n">
        <v>1.35391</v>
      </c>
      <c r="I44" s="6" t="s">
        <v>347</v>
      </c>
    </row>
    <row r="45" customFormat="false" ht="15" hidden="false" customHeight="true" outlineLevel="0" collapsed="false">
      <c r="A45" s="8" t="s">
        <v>348</v>
      </c>
      <c r="B45" s="8" t="s">
        <v>135</v>
      </c>
      <c r="C45" s="8" t="s">
        <v>161</v>
      </c>
      <c r="D45" s="8" t="s">
        <v>130</v>
      </c>
      <c r="E45" s="31" t="n">
        <v>0.85</v>
      </c>
      <c r="F45" s="8" t="s">
        <v>295</v>
      </c>
      <c r="G45" s="8" t="s">
        <v>177</v>
      </c>
      <c r="H45" s="8" t="n">
        <v>1.35382</v>
      </c>
      <c r="I45" s="8" t="s">
        <v>347</v>
      </c>
    </row>
    <row r="46" customFormat="false" ht="15" hidden="false" customHeight="true" outlineLevel="0" collapsed="false">
      <c r="A46" s="6" t="s">
        <v>178</v>
      </c>
      <c r="B46" s="6" t="s">
        <v>135</v>
      </c>
      <c r="C46" s="6" t="s">
        <v>161</v>
      </c>
      <c r="D46" s="6" t="s">
        <v>130</v>
      </c>
      <c r="E46" s="29" t="n">
        <v>0.85</v>
      </c>
      <c r="F46" s="6" t="s">
        <v>295</v>
      </c>
      <c r="G46" s="30" t="s">
        <v>179</v>
      </c>
      <c r="H46" s="6" t="n">
        <v>1.35376</v>
      </c>
      <c r="I46" s="6" t="s">
        <v>347</v>
      </c>
    </row>
    <row r="47" customFormat="false" ht="15" hidden="false" customHeight="true" outlineLevel="0" collapsed="false">
      <c r="A47" s="8" t="s">
        <v>180</v>
      </c>
      <c r="B47" s="8" t="s">
        <v>135</v>
      </c>
      <c r="C47" s="8" t="s">
        <v>161</v>
      </c>
      <c r="D47" s="8" t="s">
        <v>130</v>
      </c>
      <c r="E47" s="31" t="n">
        <v>0.85</v>
      </c>
      <c r="F47" s="8" t="s">
        <v>295</v>
      </c>
      <c r="G47" s="8" t="s">
        <v>181</v>
      </c>
      <c r="H47" s="8" t="n">
        <v>1.35343</v>
      </c>
      <c r="I47" s="8" t="s">
        <v>347</v>
      </c>
    </row>
    <row r="48" customFormat="false" ht="15" hidden="false" customHeight="true" outlineLevel="0" collapsed="false">
      <c r="A48" s="6" t="s">
        <v>182</v>
      </c>
      <c r="B48" s="6" t="s">
        <v>135</v>
      </c>
      <c r="C48" s="6" t="s">
        <v>161</v>
      </c>
      <c r="D48" s="6" t="s">
        <v>130</v>
      </c>
      <c r="E48" s="29" t="n">
        <v>0.85</v>
      </c>
      <c r="F48" s="6" t="s">
        <v>295</v>
      </c>
      <c r="G48" s="30" t="s">
        <v>183</v>
      </c>
      <c r="H48" s="6" t="n">
        <v>1.35342</v>
      </c>
      <c r="I48" s="6" t="s">
        <v>347</v>
      </c>
    </row>
    <row r="49" customFormat="false" ht="15" hidden="false" customHeight="true" outlineLevel="0" collapsed="false">
      <c r="A49" s="8" t="s">
        <v>184</v>
      </c>
      <c r="B49" s="8" t="s">
        <v>135</v>
      </c>
      <c r="C49" s="8" t="s">
        <v>161</v>
      </c>
      <c r="D49" s="8" t="s">
        <v>130</v>
      </c>
      <c r="E49" s="31" t="n">
        <v>0.85</v>
      </c>
      <c r="F49" s="8" t="s">
        <v>295</v>
      </c>
      <c r="G49" s="8" t="s">
        <v>185</v>
      </c>
      <c r="H49" s="8" t="n">
        <v>1.35338</v>
      </c>
      <c r="I49" s="8" t="s">
        <v>347</v>
      </c>
    </row>
    <row r="50" customFormat="false" ht="15" hidden="false" customHeight="true" outlineLevel="0" collapsed="false">
      <c r="A50" s="6" t="s">
        <v>186</v>
      </c>
      <c r="B50" s="6" t="s">
        <v>135</v>
      </c>
      <c r="C50" s="6" t="s">
        <v>161</v>
      </c>
      <c r="D50" s="6" t="s">
        <v>130</v>
      </c>
      <c r="E50" s="29" t="n">
        <v>0.85</v>
      </c>
      <c r="F50" s="6" t="s">
        <v>295</v>
      </c>
      <c r="G50" s="30" t="s">
        <v>187</v>
      </c>
      <c r="H50" s="6" t="n">
        <v>1.35514</v>
      </c>
      <c r="I50" s="6" t="s">
        <v>347</v>
      </c>
    </row>
    <row r="51" customFormat="false" ht="15" hidden="false" customHeight="true" outlineLevel="0" collapsed="false">
      <c r="A51" s="8" t="s">
        <v>188</v>
      </c>
      <c r="B51" s="8" t="s">
        <v>135</v>
      </c>
      <c r="C51" s="8" t="s">
        <v>161</v>
      </c>
      <c r="D51" s="8" t="s">
        <v>130</v>
      </c>
      <c r="E51" s="31" t="n">
        <v>0.85</v>
      </c>
      <c r="F51" s="8" t="s">
        <v>295</v>
      </c>
      <c r="G51" s="8" t="s">
        <v>189</v>
      </c>
      <c r="H51" s="8" t="n">
        <v>1.35478</v>
      </c>
      <c r="I51" s="8" t="s">
        <v>347</v>
      </c>
    </row>
    <row r="52" customFormat="false" ht="15" hidden="false" customHeight="true" outlineLevel="0" collapsed="false">
      <c r="A52" s="6" t="s">
        <v>190</v>
      </c>
      <c r="B52" s="6" t="s">
        <v>135</v>
      </c>
      <c r="C52" s="6" t="s">
        <v>161</v>
      </c>
      <c r="D52" s="6" t="s">
        <v>130</v>
      </c>
      <c r="E52" s="29" t="n">
        <v>0.85</v>
      </c>
      <c r="F52" s="6" t="s">
        <v>295</v>
      </c>
      <c r="G52" s="30" t="s">
        <v>191</v>
      </c>
      <c r="H52" s="6" t="n">
        <v>1.35472</v>
      </c>
      <c r="I52" s="6" t="s">
        <v>347</v>
      </c>
    </row>
    <row r="53" customFormat="false" ht="15" hidden="false" customHeight="true" outlineLevel="0" collapsed="false">
      <c r="A53" s="8" t="s">
        <v>192</v>
      </c>
      <c r="B53" s="8" t="s">
        <v>135</v>
      </c>
      <c r="C53" s="8" t="s">
        <v>161</v>
      </c>
      <c r="D53" s="8" t="s">
        <v>130</v>
      </c>
      <c r="E53" s="31" t="n">
        <v>0.85</v>
      </c>
      <c r="F53" s="8" t="s">
        <v>295</v>
      </c>
      <c r="G53" s="8" t="s">
        <v>193</v>
      </c>
      <c r="H53" s="8" t="n">
        <v>1.35459</v>
      </c>
      <c r="I53" s="8" t="s">
        <v>347</v>
      </c>
    </row>
    <row r="54" customFormat="false" ht="15" hidden="false" customHeight="true" outlineLevel="0" collapsed="false">
      <c r="A54" s="6" t="s">
        <v>194</v>
      </c>
      <c r="B54" s="6" t="s">
        <v>135</v>
      </c>
      <c r="C54" s="6" t="s">
        <v>161</v>
      </c>
      <c r="D54" s="6" t="s">
        <v>130</v>
      </c>
      <c r="E54" s="29" t="n">
        <v>0.75</v>
      </c>
      <c r="F54" s="6" t="s">
        <v>295</v>
      </c>
      <c r="G54" s="30" t="s">
        <v>195</v>
      </c>
      <c r="H54" s="6" t="n">
        <v>1.35432</v>
      </c>
      <c r="I54" s="6" t="s">
        <v>349</v>
      </c>
    </row>
    <row r="55" customFormat="false" ht="15" hidden="false" customHeight="true" outlineLevel="0" collapsed="false">
      <c r="A55" s="8" t="s">
        <v>196</v>
      </c>
      <c r="B55" s="8" t="s">
        <v>135</v>
      </c>
      <c r="C55" s="8" t="s">
        <v>161</v>
      </c>
      <c r="D55" s="8" t="s">
        <v>130</v>
      </c>
      <c r="E55" s="31" t="n">
        <v>0.75</v>
      </c>
      <c r="F55" s="8" t="s">
        <v>295</v>
      </c>
      <c r="G55" s="8" t="s">
        <v>197</v>
      </c>
      <c r="H55" s="8" t="n">
        <v>1.3541</v>
      </c>
      <c r="I55" s="8" t="s">
        <v>349</v>
      </c>
    </row>
    <row r="56" customFormat="false" ht="15" hidden="false" customHeight="true" outlineLevel="0" collapsed="false">
      <c r="A56" s="6" t="s">
        <v>198</v>
      </c>
      <c r="B56" s="6" t="s">
        <v>134</v>
      </c>
      <c r="C56" s="6" t="s">
        <v>43</v>
      </c>
      <c r="D56" s="6" t="s">
        <v>127</v>
      </c>
      <c r="E56" s="29" t="n">
        <v>0.85</v>
      </c>
      <c r="F56" s="6" t="s">
        <v>295</v>
      </c>
      <c r="G56" s="30" t="s">
        <v>199</v>
      </c>
      <c r="H56" s="6" t="n">
        <v>215.549</v>
      </c>
      <c r="I56" s="6" t="s">
        <v>350</v>
      </c>
    </row>
    <row r="57" customFormat="false" ht="15" hidden="false" customHeight="true" outlineLevel="0" collapsed="false">
      <c r="A57" s="8" t="s">
        <v>200</v>
      </c>
      <c r="B57" s="8" t="s">
        <v>135</v>
      </c>
      <c r="C57" s="8" t="s">
        <v>161</v>
      </c>
      <c r="D57" s="8" t="s">
        <v>130</v>
      </c>
      <c r="E57" s="31" t="n">
        <v>0.75</v>
      </c>
      <c r="F57" s="8" t="s">
        <v>295</v>
      </c>
      <c r="G57" s="8" t="s">
        <v>201</v>
      </c>
      <c r="H57" s="8" t="n">
        <v>1.35393</v>
      </c>
      <c r="I57" s="8" t="s">
        <v>351</v>
      </c>
    </row>
    <row r="58" customFormat="false" ht="15" hidden="false" customHeight="true" outlineLevel="0" collapsed="false">
      <c r="A58" s="6" t="s">
        <v>202</v>
      </c>
      <c r="B58" s="6" t="s">
        <v>134</v>
      </c>
      <c r="C58" s="6" t="s">
        <v>43</v>
      </c>
      <c r="D58" s="6" t="s">
        <v>127</v>
      </c>
      <c r="E58" s="29" t="n">
        <v>0.85</v>
      </c>
      <c r="F58" s="6" t="s">
        <v>295</v>
      </c>
      <c r="G58" s="30" t="s">
        <v>203</v>
      </c>
      <c r="H58" s="6" t="n">
        <v>215.61</v>
      </c>
      <c r="I58" s="6" t="s">
        <v>352</v>
      </c>
    </row>
    <row r="59" customFormat="false" ht="15" hidden="false" customHeight="true" outlineLevel="0" collapsed="false">
      <c r="A59" s="8" t="s">
        <v>353</v>
      </c>
      <c r="B59" s="8" t="s">
        <v>135</v>
      </c>
      <c r="C59" s="8" t="s">
        <v>161</v>
      </c>
      <c r="D59" s="8" t="s">
        <v>130</v>
      </c>
      <c r="E59" s="31" t="n">
        <v>0.75</v>
      </c>
      <c r="F59" s="8" t="s">
        <v>295</v>
      </c>
      <c r="G59" s="8" t="s">
        <v>205</v>
      </c>
      <c r="H59" s="8" t="n">
        <v>1.35211</v>
      </c>
      <c r="I59" s="8" t="s">
        <v>351</v>
      </c>
    </row>
    <row r="60" customFormat="false" ht="15" hidden="false" customHeight="true" outlineLevel="0" collapsed="false">
      <c r="A60" s="6" t="s">
        <v>206</v>
      </c>
      <c r="B60" s="6" t="s">
        <v>133</v>
      </c>
      <c r="C60" s="6" t="s">
        <v>161</v>
      </c>
      <c r="D60" s="6" t="s">
        <v>130</v>
      </c>
      <c r="E60" s="29" t="n">
        <v>0.75</v>
      </c>
      <c r="F60" s="6" t="s">
        <v>295</v>
      </c>
      <c r="G60" s="30" t="s">
        <v>207</v>
      </c>
      <c r="H60" s="6" t="n">
        <v>1.17718</v>
      </c>
      <c r="I60" s="6" t="s">
        <v>354</v>
      </c>
    </row>
    <row r="61" customFormat="false" ht="15" hidden="false" customHeight="true" outlineLevel="0" collapsed="false">
      <c r="A61" s="8" t="s">
        <v>208</v>
      </c>
      <c r="B61" s="8" t="s">
        <v>135</v>
      </c>
      <c r="C61" s="8" t="s">
        <v>161</v>
      </c>
      <c r="D61" s="8" t="s">
        <v>130</v>
      </c>
      <c r="E61" s="31" t="n">
        <v>0.75</v>
      </c>
      <c r="F61" s="8" t="s">
        <v>295</v>
      </c>
      <c r="G61" s="8" t="s">
        <v>209</v>
      </c>
      <c r="H61" s="8" t="n">
        <v>1.35347</v>
      </c>
      <c r="I61" s="8" t="s">
        <v>355</v>
      </c>
    </row>
    <row r="62" customFormat="false" ht="15" hidden="false" customHeight="true" outlineLevel="0" collapsed="false">
      <c r="A62" s="6" t="s">
        <v>356</v>
      </c>
      <c r="B62" s="6" t="s">
        <v>135</v>
      </c>
      <c r="C62" s="6" t="s">
        <v>161</v>
      </c>
      <c r="D62" s="6" t="s">
        <v>130</v>
      </c>
      <c r="E62" s="29" t="n">
        <v>0.85</v>
      </c>
      <c r="F62" s="6" t="s">
        <v>295</v>
      </c>
      <c r="G62" s="30" t="s">
        <v>211</v>
      </c>
      <c r="H62" s="6" t="n">
        <v>1.3535</v>
      </c>
      <c r="I62" s="6" t="s">
        <v>347</v>
      </c>
    </row>
    <row r="63" customFormat="false" ht="15" hidden="false" customHeight="true" outlineLevel="0" collapsed="false">
      <c r="A63" s="8" t="s">
        <v>212</v>
      </c>
      <c r="B63" s="8" t="s">
        <v>135</v>
      </c>
      <c r="C63" s="8" t="s">
        <v>161</v>
      </c>
      <c r="D63" s="8" t="s">
        <v>130</v>
      </c>
      <c r="E63" s="31" t="n">
        <v>0.85</v>
      </c>
      <c r="F63" s="8" t="s">
        <v>295</v>
      </c>
      <c r="G63" s="8" t="s">
        <v>213</v>
      </c>
      <c r="H63" s="8" t="n">
        <v>1.35353</v>
      </c>
      <c r="I63" s="8" t="s">
        <v>347</v>
      </c>
    </row>
    <row r="64" customFormat="false" ht="15" hidden="false" customHeight="true" outlineLevel="0" collapsed="false">
      <c r="A64" s="6" t="s">
        <v>214</v>
      </c>
      <c r="B64" s="6" t="s">
        <v>135</v>
      </c>
      <c r="C64" s="6" t="s">
        <v>161</v>
      </c>
      <c r="D64" s="6" t="s">
        <v>130</v>
      </c>
      <c r="E64" s="29" t="n">
        <v>0.85</v>
      </c>
      <c r="F64" s="6" t="s">
        <v>295</v>
      </c>
      <c r="G64" s="30" t="s">
        <v>215</v>
      </c>
      <c r="H64" s="6" t="n">
        <v>1.35342</v>
      </c>
      <c r="I64" s="6" t="s">
        <v>347</v>
      </c>
    </row>
    <row r="65" customFormat="false" ht="15" hidden="false" customHeight="true" outlineLevel="0" collapsed="false">
      <c r="A65" s="8" t="s">
        <v>216</v>
      </c>
      <c r="B65" s="8" t="s">
        <v>135</v>
      </c>
      <c r="C65" s="8" t="s">
        <v>161</v>
      </c>
      <c r="D65" s="8" t="s">
        <v>130</v>
      </c>
      <c r="E65" s="31" t="n">
        <v>0.85</v>
      </c>
      <c r="F65" s="8" t="s">
        <v>295</v>
      </c>
      <c r="G65" s="8" t="s">
        <v>217</v>
      </c>
      <c r="H65" s="8" t="n">
        <v>1.35308</v>
      </c>
      <c r="I65" s="8" t="s">
        <v>347</v>
      </c>
    </row>
    <row r="66" customFormat="false" ht="15" hidden="false" customHeight="true" outlineLevel="0" collapsed="false">
      <c r="A66" s="6" t="s">
        <v>218</v>
      </c>
      <c r="B66" s="6" t="s">
        <v>135</v>
      </c>
      <c r="C66" s="6" t="s">
        <v>161</v>
      </c>
      <c r="D66" s="6" t="s">
        <v>130</v>
      </c>
      <c r="E66" s="29" t="n">
        <v>0.75</v>
      </c>
      <c r="F66" s="6" t="s">
        <v>295</v>
      </c>
      <c r="G66" s="30" t="s">
        <v>219</v>
      </c>
      <c r="H66" s="6" t="n">
        <v>1.35268</v>
      </c>
      <c r="I66" s="6" t="s">
        <v>349</v>
      </c>
    </row>
    <row r="67" customFormat="false" ht="15" hidden="false" customHeight="true" outlineLevel="0" collapsed="false">
      <c r="A67" s="8" t="s">
        <v>220</v>
      </c>
      <c r="B67" s="8" t="s">
        <v>135</v>
      </c>
      <c r="C67" s="8" t="s">
        <v>161</v>
      </c>
      <c r="D67" s="8" t="s">
        <v>130</v>
      </c>
      <c r="E67" s="31" t="n">
        <v>0.75</v>
      </c>
      <c r="F67" s="8" t="s">
        <v>295</v>
      </c>
      <c r="G67" s="8" t="s">
        <v>221</v>
      </c>
      <c r="H67" s="8" t="n">
        <v>1.35279</v>
      </c>
      <c r="I67" s="8" t="s">
        <v>349</v>
      </c>
    </row>
    <row r="68" customFormat="false" ht="15" hidden="false" customHeight="true" outlineLevel="0" collapsed="false">
      <c r="A68" s="6" t="s">
        <v>357</v>
      </c>
      <c r="B68" s="6" t="s">
        <v>133</v>
      </c>
      <c r="C68" s="6" t="s">
        <v>161</v>
      </c>
      <c r="D68" s="6" t="s">
        <v>130</v>
      </c>
      <c r="E68" s="29" t="n">
        <v>0.75</v>
      </c>
      <c r="F68" s="6" t="s">
        <v>295</v>
      </c>
      <c r="G68" s="30" t="s">
        <v>223</v>
      </c>
      <c r="H68" s="6" t="n">
        <v>1.17691</v>
      </c>
      <c r="I68" s="6" t="s">
        <v>358</v>
      </c>
    </row>
    <row r="69" customFormat="false" ht="15" hidden="false" customHeight="true" outlineLevel="0" collapsed="false">
      <c r="A69" s="8" t="s">
        <v>357</v>
      </c>
      <c r="B69" s="8" t="s">
        <v>135</v>
      </c>
      <c r="C69" s="8" t="s">
        <v>161</v>
      </c>
      <c r="D69" s="8" t="s">
        <v>130</v>
      </c>
      <c r="E69" s="31" t="n">
        <v>0.75</v>
      </c>
      <c r="F69" s="8" t="s">
        <v>295</v>
      </c>
      <c r="G69" s="8"/>
      <c r="H69" s="8"/>
      <c r="I69" s="8" t="s">
        <v>349</v>
      </c>
    </row>
    <row r="70" customFormat="false" ht="15" hidden="false" customHeight="true" outlineLevel="0" collapsed="false">
      <c r="A70" s="6" t="s">
        <v>222</v>
      </c>
      <c r="B70" s="6" t="s">
        <v>133</v>
      </c>
      <c r="C70" s="6" t="s">
        <v>161</v>
      </c>
      <c r="D70" s="6" t="s">
        <v>130</v>
      </c>
      <c r="E70" s="29" t="n">
        <v>0.75</v>
      </c>
      <c r="F70" s="6" t="s">
        <v>295</v>
      </c>
      <c r="G70" s="30" t="s">
        <v>223</v>
      </c>
      <c r="H70" s="6" t="n">
        <v>1.17691</v>
      </c>
      <c r="I70" s="6" t="s">
        <v>358</v>
      </c>
    </row>
    <row r="71" customFormat="false" ht="15" hidden="false" customHeight="true" outlineLevel="0" collapsed="false">
      <c r="A71" s="8" t="s">
        <v>224</v>
      </c>
      <c r="B71" s="8" t="s">
        <v>135</v>
      </c>
      <c r="C71" s="8" t="s">
        <v>161</v>
      </c>
      <c r="D71" s="8" t="s">
        <v>130</v>
      </c>
      <c r="E71" s="31" t="n">
        <v>0.75</v>
      </c>
      <c r="F71" s="8" t="s">
        <v>295</v>
      </c>
      <c r="G71" s="8" t="s">
        <v>225</v>
      </c>
      <c r="H71" s="8" t="n">
        <v>1.35265</v>
      </c>
      <c r="I71" s="8" t="s">
        <v>349</v>
      </c>
    </row>
    <row r="72" customFormat="false" ht="15" hidden="false" customHeight="true" outlineLevel="0" collapsed="false">
      <c r="A72" s="6" t="s">
        <v>226</v>
      </c>
      <c r="B72" s="6" t="s">
        <v>135</v>
      </c>
      <c r="C72" s="6" t="s">
        <v>161</v>
      </c>
      <c r="D72" s="6" t="s">
        <v>130</v>
      </c>
      <c r="E72" s="29" t="n">
        <v>0.75</v>
      </c>
      <c r="F72" s="6" t="s">
        <v>295</v>
      </c>
      <c r="G72" s="30" t="s">
        <v>227</v>
      </c>
      <c r="H72" s="6" t="n">
        <v>1.35256</v>
      </c>
      <c r="I72" s="6" t="s">
        <v>349</v>
      </c>
    </row>
    <row r="73" customFormat="false" ht="15" hidden="false" customHeight="true" outlineLevel="0" collapsed="false">
      <c r="A73" s="8" t="s">
        <v>359</v>
      </c>
      <c r="B73" s="8" t="s">
        <v>133</v>
      </c>
      <c r="C73" s="8" t="s">
        <v>161</v>
      </c>
      <c r="D73" s="8" t="s">
        <v>130</v>
      </c>
      <c r="E73" s="31" t="n">
        <v>0.75</v>
      </c>
      <c r="F73" s="8" t="s">
        <v>295</v>
      </c>
      <c r="G73" s="8"/>
      <c r="H73" s="8"/>
      <c r="I73" s="8" t="s">
        <v>360</v>
      </c>
    </row>
    <row r="74" customFormat="false" ht="15" hidden="false" customHeight="true" outlineLevel="0" collapsed="false">
      <c r="A74" s="6" t="s">
        <v>359</v>
      </c>
      <c r="B74" s="6" t="s">
        <v>135</v>
      </c>
      <c r="C74" s="6" t="s">
        <v>161</v>
      </c>
      <c r="D74" s="6" t="s">
        <v>130</v>
      </c>
      <c r="E74" s="29" t="n">
        <v>0.75</v>
      </c>
      <c r="F74" s="6" t="s">
        <v>295</v>
      </c>
      <c r="G74" s="6"/>
      <c r="H74" s="6"/>
      <c r="I74" s="6" t="s">
        <v>349</v>
      </c>
    </row>
    <row r="75" customFormat="false" ht="15" hidden="false" customHeight="true" outlineLevel="0" collapsed="false">
      <c r="A75" s="8" t="s">
        <v>361</v>
      </c>
      <c r="B75" s="8" t="s">
        <v>133</v>
      </c>
      <c r="C75" s="8" t="s">
        <v>161</v>
      </c>
      <c r="D75" s="8" t="s">
        <v>130</v>
      </c>
      <c r="E75" s="31" t="n">
        <v>0.75</v>
      </c>
      <c r="F75" s="8" t="s">
        <v>295</v>
      </c>
      <c r="G75" s="8"/>
      <c r="H75" s="8"/>
      <c r="I75" s="8" t="s">
        <v>360</v>
      </c>
    </row>
    <row r="76" customFormat="false" ht="15" hidden="false" customHeight="true" outlineLevel="0" collapsed="false">
      <c r="A76" s="6" t="s">
        <v>362</v>
      </c>
      <c r="B76" s="6" t="s">
        <v>135</v>
      </c>
      <c r="C76" s="6" t="s">
        <v>161</v>
      </c>
      <c r="D76" s="6" t="s">
        <v>130</v>
      </c>
      <c r="E76" s="29" t="n">
        <v>0.75</v>
      </c>
      <c r="F76" s="6" t="s">
        <v>295</v>
      </c>
      <c r="G76" s="6"/>
      <c r="H76" s="6"/>
      <c r="I76" s="6" t="s">
        <v>349</v>
      </c>
    </row>
    <row r="77" customFormat="false" ht="15" hidden="false" customHeight="true" outlineLevel="0" collapsed="false">
      <c r="A77" s="8" t="s">
        <v>228</v>
      </c>
      <c r="B77" s="8" t="s">
        <v>42</v>
      </c>
      <c r="C77" s="8" t="s">
        <v>43</v>
      </c>
      <c r="D77" s="8" t="s">
        <v>129</v>
      </c>
      <c r="E77" s="31" t="n">
        <v>0.85</v>
      </c>
      <c r="F77" s="8" t="s">
        <v>295</v>
      </c>
      <c r="G77" s="8" t="s">
        <v>229</v>
      </c>
      <c r="H77" s="8" t="n">
        <v>187.669</v>
      </c>
      <c r="I77" s="8" t="s">
        <v>363</v>
      </c>
    </row>
    <row r="78" customFormat="false" ht="15" hidden="false" customHeight="true" outlineLevel="0" collapsed="false">
      <c r="A78" s="6" t="s">
        <v>230</v>
      </c>
      <c r="B78" s="6" t="s">
        <v>42</v>
      </c>
      <c r="C78" s="6" t="s">
        <v>43</v>
      </c>
      <c r="D78" s="6" t="s">
        <v>129</v>
      </c>
      <c r="E78" s="29" t="n">
        <v>0.75</v>
      </c>
      <c r="F78" s="6" t="s">
        <v>295</v>
      </c>
      <c r="G78" s="30" t="s">
        <v>231</v>
      </c>
      <c r="H78" s="6" t="n">
        <v>187.734</v>
      </c>
      <c r="I78" s="6" t="s">
        <v>364</v>
      </c>
    </row>
    <row r="79" customFormat="false" ht="15" hidden="false" customHeight="true" outlineLevel="0" collapsed="false">
      <c r="A79" s="8" t="s">
        <v>232</v>
      </c>
      <c r="B79" s="8" t="s">
        <v>42</v>
      </c>
      <c r="C79" s="8" t="s">
        <v>43</v>
      </c>
      <c r="D79" s="8" t="s">
        <v>129</v>
      </c>
      <c r="E79" s="31" t="n">
        <v>0.75</v>
      </c>
      <c r="F79" s="8" t="s">
        <v>295</v>
      </c>
      <c r="G79" s="8" t="s">
        <v>233</v>
      </c>
      <c r="H79" s="8" t="n">
        <v>187.703</v>
      </c>
      <c r="I79" s="8" t="s">
        <v>364</v>
      </c>
    </row>
    <row r="80" customFormat="false" ht="15" hidden="false" customHeight="true" outlineLevel="0" collapsed="false">
      <c r="A80" s="6" t="s">
        <v>234</v>
      </c>
      <c r="B80" s="6" t="s">
        <v>42</v>
      </c>
      <c r="C80" s="6" t="s">
        <v>43</v>
      </c>
      <c r="D80" s="6" t="s">
        <v>129</v>
      </c>
      <c r="E80" s="29" t="n">
        <v>0.75</v>
      </c>
      <c r="F80" s="6" t="s">
        <v>295</v>
      </c>
      <c r="G80" s="30" t="s">
        <v>235</v>
      </c>
      <c r="H80" s="6" t="n">
        <v>187.742</v>
      </c>
      <c r="I80" s="6" t="s">
        <v>365</v>
      </c>
    </row>
    <row r="81" customFormat="false" ht="15" hidden="false" customHeight="true" outlineLevel="0" collapsed="false">
      <c r="A81" s="8" t="s">
        <v>236</v>
      </c>
      <c r="B81" s="8" t="s">
        <v>134</v>
      </c>
      <c r="C81" s="8" t="s">
        <v>43</v>
      </c>
      <c r="D81" s="8" t="s">
        <v>127</v>
      </c>
      <c r="E81" s="31" t="n">
        <v>0.85</v>
      </c>
      <c r="F81" s="8" t="s">
        <v>295</v>
      </c>
      <c r="G81" s="8" t="s">
        <v>237</v>
      </c>
      <c r="H81" s="8" t="n">
        <v>215.303</v>
      </c>
      <c r="I81" s="8" t="s">
        <v>366</v>
      </c>
    </row>
    <row r="82" customFormat="false" ht="15" hidden="false" customHeight="true" outlineLevel="0" collapsed="false">
      <c r="A82" s="6" t="s">
        <v>238</v>
      </c>
      <c r="B82" s="6" t="s">
        <v>135</v>
      </c>
      <c r="C82" s="6" t="s">
        <v>43</v>
      </c>
      <c r="D82" s="6" t="s">
        <v>127</v>
      </c>
      <c r="E82" s="29" t="n">
        <v>0.85</v>
      </c>
      <c r="F82" s="6" t="s">
        <v>295</v>
      </c>
      <c r="G82" s="30" t="s">
        <v>239</v>
      </c>
      <c r="H82" s="6" t="n">
        <v>1.35256</v>
      </c>
      <c r="I82" s="6" t="s">
        <v>367</v>
      </c>
    </row>
    <row r="83" customFormat="false" ht="15" hidden="false" customHeight="true" outlineLevel="0" collapsed="false">
      <c r="A83" s="8" t="s">
        <v>240</v>
      </c>
      <c r="B83" s="8" t="s">
        <v>134</v>
      </c>
      <c r="C83" s="8" t="s">
        <v>43</v>
      </c>
      <c r="D83" s="8" t="s">
        <v>127</v>
      </c>
      <c r="E83" s="31" t="n">
        <v>0.85</v>
      </c>
      <c r="F83" s="8" t="s">
        <v>295</v>
      </c>
      <c r="G83" s="8" t="s">
        <v>241</v>
      </c>
      <c r="H83" s="8" t="n">
        <v>215.319</v>
      </c>
      <c r="I83" s="8" t="s">
        <v>368</v>
      </c>
    </row>
    <row r="84" customFormat="false" ht="15" hidden="false" customHeight="true" outlineLevel="0" collapsed="false">
      <c r="A84" s="6" t="s">
        <v>242</v>
      </c>
      <c r="B84" s="6" t="s">
        <v>133</v>
      </c>
      <c r="C84" s="6" t="s">
        <v>43</v>
      </c>
      <c r="D84" s="6" t="s">
        <v>127</v>
      </c>
      <c r="E84" s="29" t="n">
        <v>0.85</v>
      </c>
      <c r="F84" s="6" t="s">
        <v>295</v>
      </c>
      <c r="G84" s="30" t="s">
        <v>243</v>
      </c>
      <c r="H84" s="6" t="n">
        <v>1.17915</v>
      </c>
      <c r="I84" s="6" t="s">
        <v>369</v>
      </c>
    </row>
    <row r="85" customFormat="false" ht="15" hidden="false" customHeight="true" outlineLevel="0" collapsed="false">
      <c r="A85" s="8" t="s">
        <v>244</v>
      </c>
      <c r="B85" s="8" t="s">
        <v>135</v>
      </c>
      <c r="C85" s="8" t="s">
        <v>43</v>
      </c>
      <c r="D85" s="8" t="s">
        <v>127</v>
      </c>
      <c r="E85" s="31" t="n">
        <v>0.85</v>
      </c>
      <c r="F85" s="8" t="s">
        <v>295</v>
      </c>
      <c r="G85" s="8" t="s">
        <v>245</v>
      </c>
      <c r="H85" s="8" t="n">
        <v>1.35309</v>
      </c>
      <c r="I85" s="8" t="s">
        <v>370</v>
      </c>
    </row>
    <row r="86" customFormat="false" ht="15" hidden="false" customHeight="true" outlineLevel="0" collapsed="false">
      <c r="A86" s="6" t="s">
        <v>246</v>
      </c>
      <c r="B86" s="6" t="s">
        <v>134</v>
      </c>
      <c r="C86" s="6" t="s">
        <v>43</v>
      </c>
      <c r="D86" s="6" t="s">
        <v>127</v>
      </c>
      <c r="E86" s="29" t="n">
        <v>0.85</v>
      </c>
      <c r="F86" s="6" t="s">
        <v>295</v>
      </c>
      <c r="G86" s="30" t="s">
        <v>247</v>
      </c>
      <c r="H86" s="6" t="n">
        <v>215.397</v>
      </c>
      <c r="I86" s="6" t="s">
        <v>371</v>
      </c>
    </row>
    <row r="87" customFormat="false" ht="15" hidden="false" customHeight="true" outlineLevel="0" collapsed="false">
      <c r="A87" s="8" t="s">
        <v>248</v>
      </c>
      <c r="B87" s="8" t="s">
        <v>133</v>
      </c>
      <c r="C87" s="8" t="s">
        <v>43</v>
      </c>
      <c r="D87" s="8" t="s">
        <v>127</v>
      </c>
      <c r="E87" s="31" t="n">
        <v>0.85</v>
      </c>
      <c r="F87" s="8" t="s">
        <v>295</v>
      </c>
      <c r="G87" s="8" t="s">
        <v>249</v>
      </c>
      <c r="H87" s="8" t="n">
        <v>1.17938</v>
      </c>
      <c r="I87" s="8" t="s">
        <v>372</v>
      </c>
    </row>
    <row r="88" customFormat="false" ht="15" hidden="false" customHeight="true" outlineLevel="0" collapsed="false">
      <c r="A88" s="6" t="s">
        <v>250</v>
      </c>
      <c r="B88" s="6" t="s">
        <v>133</v>
      </c>
      <c r="C88" s="6" t="s">
        <v>43</v>
      </c>
      <c r="D88" s="6" t="s">
        <v>127</v>
      </c>
      <c r="E88" s="29" t="n">
        <v>0.85</v>
      </c>
      <c r="F88" s="6" t="s">
        <v>295</v>
      </c>
      <c r="G88" s="30" t="s">
        <v>251</v>
      </c>
      <c r="H88" s="6" t="n">
        <v>1.17969</v>
      </c>
      <c r="I88" s="6" t="s">
        <v>373</v>
      </c>
    </row>
    <row r="89" customFormat="false" ht="15" hidden="false" customHeight="true" outlineLevel="0" collapsed="false">
      <c r="A89" s="8" t="s">
        <v>252</v>
      </c>
      <c r="B89" s="8" t="s">
        <v>133</v>
      </c>
      <c r="C89" s="8" t="s">
        <v>43</v>
      </c>
      <c r="D89" s="8" t="s">
        <v>127</v>
      </c>
      <c r="E89" s="31" t="n">
        <v>0.85</v>
      </c>
      <c r="F89" s="8" t="s">
        <v>295</v>
      </c>
      <c r="G89" s="8" t="s">
        <v>253</v>
      </c>
      <c r="H89" s="8" t="n">
        <v>1.17946</v>
      </c>
      <c r="I89" s="8" t="s">
        <v>374</v>
      </c>
    </row>
    <row r="90" customFormat="false" ht="15" hidden="false" customHeight="true" outlineLevel="0" collapsed="false">
      <c r="A90" s="6" t="s">
        <v>254</v>
      </c>
      <c r="B90" s="6" t="s">
        <v>135</v>
      </c>
      <c r="C90" s="6" t="s">
        <v>43</v>
      </c>
      <c r="D90" s="6" t="s">
        <v>127</v>
      </c>
      <c r="E90" s="29" t="n">
        <v>0.85</v>
      </c>
      <c r="F90" s="6" t="s">
        <v>295</v>
      </c>
      <c r="G90" s="30" t="s">
        <v>255</v>
      </c>
      <c r="H90" s="6" t="n">
        <v>1.35337</v>
      </c>
      <c r="I90" s="6" t="s">
        <v>375</v>
      </c>
    </row>
    <row r="91" customFormat="false" ht="15" hidden="false" customHeight="true" outlineLevel="0" collapsed="false">
      <c r="A91" s="8" t="s">
        <v>256</v>
      </c>
      <c r="B91" s="8" t="s">
        <v>134</v>
      </c>
      <c r="C91" s="8" t="s">
        <v>43</v>
      </c>
      <c r="D91" s="8" t="s">
        <v>127</v>
      </c>
      <c r="E91" s="31" t="n">
        <v>0.85</v>
      </c>
      <c r="F91" s="8" t="s">
        <v>295</v>
      </c>
      <c r="G91" s="8" t="s">
        <v>257</v>
      </c>
      <c r="H91" s="8" t="n">
        <v>215.218</v>
      </c>
      <c r="I91" s="8" t="s">
        <v>376</v>
      </c>
    </row>
    <row r="92" customFormat="false" ht="15" hidden="false" customHeight="true" outlineLevel="0" collapsed="false">
      <c r="A92" s="6" t="s">
        <v>258</v>
      </c>
      <c r="B92" s="6" t="s">
        <v>134</v>
      </c>
      <c r="C92" s="6" t="s">
        <v>43</v>
      </c>
      <c r="D92" s="6" t="s">
        <v>127</v>
      </c>
      <c r="E92" s="29" t="n">
        <v>0.85</v>
      </c>
      <c r="F92" s="6" t="s">
        <v>295</v>
      </c>
      <c r="G92" s="30" t="s">
        <v>259</v>
      </c>
      <c r="H92" s="6" t="n">
        <v>215.264</v>
      </c>
      <c r="I92" s="6" t="s">
        <v>377</v>
      </c>
    </row>
    <row r="93" customFormat="false" ht="15" hidden="false" customHeight="true" outlineLevel="0" collapsed="false">
      <c r="A93" s="8" t="s">
        <v>260</v>
      </c>
      <c r="B93" s="8" t="s">
        <v>134</v>
      </c>
      <c r="C93" s="8" t="s">
        <v>43</v>
      </c>
      <c r="D93" s="8" t="s">
        <v>127</v>
      </c>
      <c r="E93" s="31" t="n">
        <v>0.85</v>
      </c>
      <c r="F93" s="8" t="s">
        <v>295</v>
      </c>
      <c r="G93" s="8" t="s">
        <v>261</v>
      </c>
      <c r="H93" s="8" t="n">
        <v>215.311</v>
      </c>
      <c r="I93" s="8" t="s">
        <v>378</v>
      </c>
    </row>
    <row r="94" customFormat="false" ht="15" hidden="false" customHeight="true" outlineLevel="0" collapsed="false">
      <c r="A94" s="6" t="s">
        <v>262</v>
      </c>
      <c r="B94" s="6" t="s">
        <v>134</v>
      </c>
      <c r="C94" s="6" t="s">
        <v>43</v>
      </c>
      <c r="D94" s="6" t="s">
        <v>127</v>
      </c>
      <c r="E94" s="29" t="n">
        <v>0.85</v>
      </c>
      <c r="F94" s="6" t="s">
        <v>295</v>
      </c>
      <c r="G94" s="30" t="s">
        <v>263</v>
      </c>
      <c r="H94" s="6" t="n">
        <v>215.467</v>
      </c>
      <c r="I94" s="6" t="s">
        <v>379</v>
      </c>
    </row>
    <row r="95" customFormat="false" ht="15" hidden="false" customHeight="true" outlineLevel="0" collapsed="false">
      <c r="A95" s="8" t="s">
        <v>380</v>
      </c>
      <c r="B95" s="8" t="s">
        <v>135</v>
      </c>
      <c r="C95" s="8" t="s">
        <v>43</v>
      </c>
      <c r="D95" s="8" t="s">
        <v>127</v>
      </c>
      <c r="E95" s="31" t="n">
        <v>0.85</v>
      </c>
      <c r="F95" s="8" t="s">
        <v>381</v>
      </c>
      <c r="G95" s="8"/>
      <c r="H95" s="8"/>
      <c r="I95" s="8" t="s">
        <v>382</v>
      </c>
    </row>
    <row r="96" customFormat="false" ht="15" hidden="false" customHeight="true" outlineLevel="0" collapsed="false">
      <c r="A96" s="6" t="s">
        <v>383</v>
      </c>
      <c r="B96" s="6" t="s">
        <v>135</v>
      </c>
      <c r="C96" s="6" t="s">
        <v>43</v>
      </c>
      <c r="D96" s="6" t="s">
        <v>127</v>
      </c>
      <c r="E96" s="29" t="n">
        <v>0.85</v>
      </c>
      <c r="F96" s="6" t="s">
        <v>381</v>
      </c>
      <c r="G96" s="6"/>
      <c r="H96" s="6"/>
      <c r="I96" s="6" t="s">
        <v>384</v>
      </c>
    </row>
    <row r="97" customFormat="false" ht="15" hidden="false" customHeight="true" outlineLevel="0" collapsed="false">
      <c r="A97" s="8" t="s">
        <v>385</v>
      </c>
      <c r="B97" s="8" t="s">
        <v>135</v>
      </c>
      <c r="C97" s="8" t="s">
        <v>43</v>
      </c>
      <c r="D97" s="8" t="s">
        <v>127</v>
      </c>
      <c r="E97" s="31" t="n">
        <v>0.85</v>
      </c>
      <c r="F97" s="8" t="s">
        <v>381</v>
      </c>
      <c r="G97" s="8"/>
      <c r="H97" s="8"/>
      <c r="I97" s="8" t="s">
        <v>386</v>
      </c>
    </row>
    <row r="98" customFormat="false" ht="15" hidden="false" customHeight="true" outlineLevel="0" collapsed="false">
      <c r="A98" s="6" t="s">
        <v>264</v>
      </c>
      <c r="B98" s="6" t="s">
        <v>133</v>
      </c>
      <c r="C98" s="6" t="s">
        <v>43</v>
      </c>
      <c r="D98" s="6" t="s">
        <v>129</v>
      </c>
      <c r="E98" s="29" t="n">
        <v>0.75</v>
      </c>
      <c r="F98" s="6" t="s">
        <v>295</v>
      </c>
      <c r="G98" s="30" t="s">
        <v>265</v>
      </c>
      <c r="H98" s="6" t="n">
        <v>1.18329</v>
      </c>
      <c r="I98" s="6" t="s">
        <v>387</v>
      </c>
    </row>
    <row r="99" customFormat="false" ht="15" hidden="false" customHeight="true" outlineLevel="0" collapsed="false">
      <c r="A99" s="8" t="s">
        <v>266</v>
      </c>
      <c r="B99" s="8" t="s">
        <v>135</v>
      </c>
      <c r="C99" s="8" t="s">
        <v>43</v>
      </c>
      <c r="D99" s="8" t="s">
        <v>127</v>
      </c>
      <c r="E99" s="31" t="n">
        <v>0.85</v>
      </c>
      <c r="F99" s="8" t="s">
        <v>295</v>
      </c>
      <c r="G99" s="8" t="s">
        <v>267</v>
      </c>
      <c r="H99" s="8" t="n">
        <v>1.35791</v>
      </c>
      <c r="I99" s="8" t="s">
        <v>388</v>
      </c>
    </row>
    <row r="100" customFormat="false" ht="15" hidden="false" customHeight="true" outlineLevel="0" collapsed="false">
      <c r="A100" s="6" t="s">
        <v>268</v>
      </c>
      <c r="B100" s="6" t="s">
        <v>133</v>
      </c>
      <c r="C100" s="6" t="s">
        <v>43</v>
      </c>
      <c r="D100" s="6" t="s">
        <v>129</v>
      </c>
      <c r="E100" s="29" t="n">
        <v>0.75</v>
      </c>
      <c r="F100" s="6" t="s">
        <v>295</v>
      </c>
      <c r="G100" s="30" t="s">
        <v>269</v>
      </c>
      <c r="H100" s="6" t="n">
        <v>1.18482</v>
      </c>
      <c r="I100" s="6" t="s">
        <v>387</v>
      </c>
    </row>
    <row r="101" customFormat="false" ht="15" hidden="false" customHeight="true" outlineLevel="0" collapsed="false">
      <c r="A101" s="8" t="s">
        <v>270</v>
      </c>
      <c r="B101" s="8" t="s">
        <v>135</v>
      </c>
      <c r="C101" s="8" t="s">
        <v>43</v>
      </c>
      <c r="D101" s="8" t="s">
        <v>127</v>
      </c>
      <c r="E101" s="31" t="n">
        <v>0.85</v>
      </c>
      <c r="F101" s="8" t="s">
        <v>295</v>
      </c>
      <c r="G101" s="8" t="s">
        <v>271</v>
      </c>
      <c r="H101" s="8" t="n">
        <v>1.35918</v>
      </c>
      <c r="I101" s="8" t="s">
        <v>389</v>
      </c>
    </row>
    <row r="102" customFormat="false" ht="15" hidden="false" customHeight="true" outlineLevel="0" collapsed="false">
      <c r="A102" s="6" t="s">
        <v>272</v>
      </c>
      <c r="B102" s="6" t="s">
        <v>42</v>
      </c>
      <c r="C102" s="6" t="s">
        <v>43</v>
      </c>
      <c r="D102" s="6" t="s">
        <v>129</v>
      </c>
      <c r="E102" s="29" t="n">
        <v>0.75</v>
      </c>
      <c r="F102" s="6" t="s">
        <v>295</v>
      </c>
      <c r="G102" s="30" t="s">
        <v>273</v>
      </c>
      <c r="H102" s="6" t="n">
        <v>187.228</v>
      </c>
      <c r="I102" s="6" t="s">
        <v>365</v>
      </c>
    </row>
    <row r="103" customFormat="false" ht="15" hidden="false" customHeight="true" outlineLevel="0" collapsed="false">
      <c r="A103" s="8" t="s">
        <v>274</v>
      </c>
      <c r="B103" s="8" t="s">
        <v>134</v>
      </c>
      <c r="C103" s="8" t="s">
        <v>161</v>
      </c>
      <c r="D103" s="8" t="s">
        <v>130</v>
      </c>
      <c r="E103" s="31" t="n">
        <v>0.75</v>
      </c>
      <c r="F103" s="8" t="s">
        <v>295</v>
      </c>
      <c r="G103" s="8" t="s">
        <v>275</v>
      </c>
      <c r="H103" s="8" t="n">
        <v>214.715</v>
      </c>
      <c r="I103" s="8" t="s">
        <v>390</v>
      </c>
    </row>
    <row r="104" customFormat="false" ht="15" hidden="false" customHeight="true" outlineLevel="0" collapsed="false">
      <c r="A104" s="6" t="s">
        <v>276</v>
      </c>
      <c r="B104" s="6" t="s">
        <v>42</v>
      </c>
      <c r="C104" s="6" t="s">
        <v>161</v>
      </c>
      <c r="D104" s="6" t="s">
        <v>128</v>
      </c>
      <c r="E104" s="29" t="n">
        <v>0.85</v>
      </c>
      <c r="F104" s="6" t="s">
        <v>295</v>
      </c>
      <c r="G104" s="30" t="s">
        <v>277</v>
      </c>
      <c r="H104" s="6" t="n">
        <v>186.94</v>
      </c>
      <c r="I104" s="6" t="s">
        <v>391</v>
      </c>
    </row>
    <row r="105" customFormat="false" ht="15" hidden="false" customHeight="true" outlineLevel="0" collapsed="false">
      <c r="A105" s="8" t="s">
        <v>392</v>
      </c>
      <c r="B105" s="8" t="s">
        <v>134</v>
      </c>
      <c r="C105" s="8" t="s">
        <v>161</v>
      </c>
      <c r="D105" s="8" t="s">
        <v>130</v>
      </c>
      <c r="E105" s="31" t="n">
        <v>0.75</v>
      </c>
      <c r="F105" s="8" t="s">
        <v>295</v>
      </c>
      <c r="G105" s="8" t="s">
        <v>279</v>
      </c>
      <c r="H105" s="8" t="n">
        <v>214.571</v>
      </c>
      <c r="I105" s="8" t="s">
        <v>390</v>
      </c>
    </row>
    <row r="106" customFormat="false" ht="15" hidden="false" customHeight="true" outlineLevel="0" collapsed="false">
      <c r="A106" s="6" t="s">
        <v>280</v>
      </c>
      <c r="B106" s="6" t="s">
        <v>133</v>
      </c>
      <c r="C106" s="6" t="s">
        <v>43</v>
      </c>
      <c r="D106" s="6" t="s">
        <v>129</v>
      </c>
      <c r="E106" s="29" t="n">
        <v>0.75</v>
      </c>
      <c r="F106" s="6" t="s">
        <v>295</v>
      </c>
      <c r="G106" s="30" t="s">
        <v>281</v>
      </c>
      <c r="H106" s="6" t="n">
        <v>1.18244</v>
      </c>
      <c r="I106" s="6" t="s">
        <v>393</v>
      </c>
    </row>
    <row r="107" customFormat="false" ht="15" hidden="false" customHeight="true" outlineLevel="0" collapsed="false">
      <c r="A107" s="8" t="s">
        <v>282</v>
      </c>
      <c r="B107" s="8" t="s">
        <v>42</v>
      </c>
      <c r="C107" s="8" t="s">
        <v>161</v>
      </c>
      <c r="D107" s="8" t="s">
        <v>128</v>
      </c>
      <c r="E107" s="31" t="n">
        <v>0.85</v>
      </c>
      <c r="F107" s="8" t="s">
        <v>295</v>
      </c>
      <c r="G107" s="8" t="s">
        <v>283</v>
      </c>
      <c r="H107" s="8" t="n">
        <v>186.795</v>
      </c>
      <c r="I107" s="8" t="s">
        <v>394</v>
      </c>
    </row>
    <row r="108" customFormat="false" ht="15" hidden="false" customHeight="true" outlineLevel="0" collapsed="false">
      <c r="A108" s="6" t="s">
        <v>284</v>
      </c>
      <c r="B108" s="6" t="s">
        <v>133</v>
      </c>
      <c r="C108" s="6" t="s">
        <v>43</v>
      </c>
      <c r="D108" s="6" t="s">
        <v>129</v>
      </c>
      <c r="E108" s="29" t="n">
        <v>0.75</v>
      </c>
      <c r="F108" s="6" t="s">
        <v>295</v>
      </c>
      <c r="G108" s="30" t="s">
        <v>285</v>
      </c>
      <c r="H108" s="6" t="n">
        <v>1.18291</v>
      </c>
      <c r="I108" s="6" t="s">
        <v>393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4" min="4" style="1" width="8"/>
    <col collapsed="false" customWidth="true" hidden="false" outlineLevel="0" max="7" min="5" style="1" width="12"/>
    <col collapsed="false" customWidth="true" hidden="false" outlineLevel="0" max="9" min="8" style="1" width="14"/>
    <col collapsed="false" customWidth="true" hidden="false" outlineLevel="0" max="10" min="10" style="1" width="8"/>
    <col collapsed="false" customWidth="true" hidden="false" outlineLevel="0" max="11" min="11" style="1" width="10"/>
  </cols>
  <sheetData>
    <row r="1" customFormat="false" ht="15" hidden="false" customHeight="true" outlineLevel="0" collapsed="false">
      <c r="A1" s="5" t="s">
        <v>287</v>
      </c>
      <c r="B1" s="5" t="s">
        <v>39</v>
      </c>
      <c r="C1" s="5" t="s">
        <v>138</v>
      </c>
      <c r="D1" s="5" t="s">
        <v>139</v>
      </c>
      <c r="E1" s="5" t="s">
        <v>140</v>
      </c>
      <c r="F1" s="5" t="s">
        <v>141</v>
      </c>
      <c r="G1" s="5" t="s">
        <v>142</v>
      </c>
      <c r="H1" s="5" t="s">
        <v>395</v>
      </c>
      <c r="I1" s="5" t="s">
        <v>396</v>
      </c>
      <c r="J1" s="5" t="s">
        <v>397</v>
      </c>
      <c r="K1" s="5" t="s">
        <v>398</v>
      </c>
    </row>
    <row r="2" customFormat="false" ht="15" hidden="false" customHeight="true" outlineLevel="0" collapsed="false">
      <c r="A2" s="6" t="s">
        <v>154</v>
      </c>
      <c r="B2" s="6" t="s">
        <v>134</v>
      </c>
      <c r="C2" s="6" t="s">
        <v>155</v>
      </c>
      <c r="D2" s="6" t="s">
        <v>43</v>
      </c>
      <c r="E2" s="6" t="n">
        <v>215.588</v>
      </c>
      <c r="F2" s="6" t="n">
        <v>215.399</v>
      </c>
      <c r="G2" s="6" t="n">
        <v>215.9</v>
      </c>
      <c r="H2" s="6" t="n">
        <v>0.189</v>
      </c>
      <c r="I2" s="6" t="n">
        <v>0.312</v>
      </c>
      <c r="J2" s="6" t="n">
        <v>1.65</v>
      </c>
      <c r="K2" s="29" t="n">
        <v>0</v>
      </c>
    </row>
    <row r="3" customFormat="false" ht="15" hidden="false" customHeight="true" outlineLevel="0" collapsed="false">
      <c r="A3" s="8" t="s">
        <v>157</v>
      </c>
      <c r="B3" s="8" t="s">
        <v>134</v>
      </c>
      <c r="C3" s="8" t="s">
        <v>158</v>
      </c>
      <c r="D3" s="8" t="s">
        <v>43</v>
      </c>
      <c r="E3" s="8" t="n">
        <v>215.642</v>
      </c>
      <c r="F3" s="8" t="n">
        <v>215.414</v>
      </c>
      <c r="G3" s="8" t="n">
        <v>215.928</v>
      </c>
      <c r="H3" s="8" t="n">
        <v>0.228</v>
      </c>
      <c r="I3" s="8" t="n">
        <v>0.286</v>
      </c>
      <c r="J3" s="8" t="n">
        <v>1.25</v>
      </c>
      <c r="K3" s="31" t="n">
        <v>0.6</v>
      </c>
    </row>
    <row r="4" customFormat="false" ht="15" hidden="false" customHeight="true" outlineLevel="0" collapsed="false">
      <c r="A4" s="6" t="s">
        <v>159</v>
      </c>
      <c r="B4" s="6" t="s">
        <v>134</v>
      </c>
      <c r="C4" s="6" t="s">
        <v>160</v>
      </c>
      <c r="D4" s="6" t="s">
        <v>161</v>
      </c>
      <c r="E4" s="6" t="n">
        <v>215.533</v>
      </c>
      <c r="F4" s="6" t="n">
        <v>215.734</v>
      </c>
      <c r="G4" s="6" t="n">
        <v>215.128</v>
      </c>
      <c r="H4" s="6" t="n">
        <v>0.201</v>
      </c>
      <c r="I4" s="6" t="n">
        <v>0.405</v>
      </c>
      <c r="J4" s="6" t="n">
        <v>2.01</v>
      </c>
      <c r="K4" s="29" t="n">
        <v>0</v>
      </c>
    </row>
    <row r="5" customFormat="false" ht="15" hidden="false" customHeight="true" outlineLevel="0" collapsed="false">
      <c r="A5" s="8" t="s">
        <v>162</v>
      </c>
      <c r="B5" s="8" t="s">
        <v>134</v>
      </c>
      <c r="C5" s="8" t="s">
        <v>163</v>
      </c>
      <c r="D5" s="8" t="s">
        <v>161</v>
      </c>
      <c r="E5" s="8" t="n">
        <v>215.222</v>
      </c>
      <c r="F5" s="8" t="n">
        <v>215.421</v>
      </c>
      <c r="G5" s="8" t="n">
        <v>214.701</v>
      </c>
      <c r="H5" s="8" t="n">
        <v>0.199</v>
      </c>
      <c r="I5" s="8" t="n">
        <v>0.521</v>
      </c>
      <c r="J5" s="8" t="n">
        <v>2.62</v>
      </c>
      <c r="K5" s="31" t="n">
        <v>0</v>
      </c>
    </row>
    <row r="6" customFormat="false" ht="15" hidden="false" customHeight="true" outlineLevel="0" collapsed="false">
      <c r="A6" s="6" t="s">
        <v>164</v>
      </c>
      <c r="B6" s="6" t="s">
        <v>133</v>
      </c>
      <c r="C6" s="6" t="s">
        <v>165</v>
      </c>
      <c r="D6" s="6" t="s">
        <v>43</v>
      </c>
      <c r="E6" s="6" t="n">
        <v>1.18111</v>
      </c>
      <c r="F6" s="6" t="n">
        <v>1.17973</v>
      </c>
      <c r="G6" s="6" t="n">
        <v>1.18328</v>
      </c>
      <c r="H6" s="6" t="n">
        <v>0.00138</v>
      </c>
      <c r="I6" s="6" t="n">
        <v>0.00217</v>
      </c>
      <c r="J6" s="6" t="n">
        <v>1.57</v>
      </c>
      <c r="K6" s="29" t="n">
        <v>0</v>
      </c>
    </row>
    <row r="7" customFormat="false" ht="15" hidden="false" customHeight="true" outlineLevel="0" collapsed="false">
      <c r="A7" s="8" t="s">
        <v>166</v>
      </c>
      <c r="B7" s="8" t="s">
        <v>135</v>
      </c>
      <c r="C7" s="8" t="s">
        <v>167</v>
      </c>
      <c r="D7" s="8" t="s">
        <v>43</v>
      </c>
      <c r="E7" s="8" t="n">
        <v>1.35798</v>
      </c>
      <c r="F7" s="8" t="n">
        <v>1.35647</v>
      </c>
      <c r="G7" s="8" t="n">
        <v>1.36059</v>
      </c>
      <c r="H7" s="8" t="n">
        <v>0.00151</v>
      </c>
      <c r="I7" s="8" t="n">
        <v>0.00261</v>
      </c>
      <c r="J7" s="8" t="n">
        <v>1.73</v>
      </c>
      <c r="K7" s="31" t="n">
        <v>0</v>
      </c>
    </row>
    <row r="8" customFormat="false" ht="15" hidden="false" customHeight="true" outlineLevel="0" collapsed="false">
      <c r="A8" s="6" t="s">
        <v>168</v>
      </c>
      <c r="B8" s="6" t="s">
        <v>134</v>
      </c>
      <c r="C8" s="6" t="s">
        <v>169</v>
      </c>
      <c r="D8" s="6" t="s">
        <v>43</v>
      </c>
      <c r="E8" s="6" t="n">
        <v>215.513</v>
      </c>
      <c r="F8" s="6" t="n">
        <v>215.262</v>
      </c>
      <c r="G8" s="6" t="n">
        <v>216.066</v>
      </c>
      <c r="H8" s="6" t="n">
        <v>0.251</v>
      </c>
      <c r="I8" s="6" t="n">
        <v>0.553</v>
      </c>
      <c r="J8" s="6" t="n">
        <v>2.2</v>
      </c>
      <c r="K8" s="29" t="n">
        <v>0</v>
      </c>
    </row>
    <row r="9" customFormat="false" ht="15" hidden="false" customHeight="true" outlineLevel="0" collapsed="false">
      <c r="A9" s="8" t="s">
        <v>170</v>
      </c>
      <c r="B9" s="8" t="s">
        <v>134</v>
      </c>
      <c r="C9" s="8" t="s">
        <v>171</v>
      </c>
      <c r="D9" s="8" t="s">
        <v>43</v>
      </c>
      <c r="E9" s="8" t="n">
        <v>215.682</v>
      </c>
      <c r="F9" s="8" t="n">
        <v>215.251</v>
      </c>
      <c r="G9" s="8" t="n">
        <v>216.069</v>
      </c>
      <c r="H9" s="8" t="n">
        <v>0.431</v>
      </c>
      <c r="I9" s="8" t="n">
        <v>0.387</v>
      </c>
      <c r="J9" s="8" t="n">
        <v>0.9</v>
      </c>
      <c r="K9" s="31" t="n">
        <v>0.6</v>
      </c>
    </row>
    <row r="10" customFormat="false" ht="15" hidden="false" customHeight="true" outlineLevel="0" collapsed="false">
      <c r="A10" s="6" t="s">
        <v>172</v>
      </c>
      <c r="B10" s="6" t="s">
        <v>134</v>
      </c>
      <c r="C10" s="6" t="s">
        <v>173</v>
      </c>
      <c r="D10" s="6" t="s">
        <v>43</v>
      </c>
      <c r="E10" s="6" t="n">
        <v>215.647</v>
      </c>
      <c r="F10" s="6" t="n">
        <v>215.415</v>
      </c>
      <c r="G10" s="6" t="n">
        <v>216.176</v>
      </c>
      <c r="H10" s="6" t="n">
        <v>0.232</v>
      </c>
      <c r="I10" s="6" t="n">
        <v>0.529</v>
      </c>
      <c r="J10" s="6" t="n">
        <v>2.28</v>
      </c>
      <c r="K10" s="29" t="n">
        <v>0.6</v>
      </c>
    </row>
    <row r="11" customFormat="false" ht="15" hidden="false" customHeight="true" outlineLevel="0" collapsed="false">
      <c r="A11" s="8" t="s">
        <v>174</v>
      </c>
      <c r="B11" s="8" t="s">
        <v>135</v>
      </c>
      <c r="C11" s="8" t="s">
        <v>175</v>
      </c>
      <c r="D11" s="8" t="s">
        <v>161</v>
      </c>
      <c r="E11" s="8" t="n">
        <v>1.35391</v>
      </c>
      <c r="F11" s="8" t="n">
        <v>1.35617</v>
      </c>
      <c r="G11" s="8" t="n">
        <v>1.35024</v>
      </c>
      <c r="H11" s="8" t="n">
        <v>0.00226</v>
      </c>
      <c r="I11" s="8" t="n">
        <v>0.00367</v>
      </c>
      <c r="J11" s="8" t="n">
        <v>1.62</v>
      </c>
      <c r="K11" s="31" t="n">
        <v>0</v>
      </c>
    </row>
    <row r="12" customFormat="false" ht="15" hidden="false" customHeight="true" outlineLevel="0" collapsed="false">
      <c r="A12" s="6" t="s">
        <v>176</v>
      </c>
      <c r="B12" s="6" t="s">
        <v>135</v>
      </c>
      <c r="C12" s="6" t="s">
        <v>177</v>
      </c>
      <c r="D12" s="6" t="s">
        <v>161</v>
      </c>
      <c r="E12" s="6" t="n">
        <v>1.35382</v>
      </c>
      <c r="F12" s="6" t="n">
        <v>1.3558</v>
      </c>
      <c r="G12" s="6" t="n">
        <v>1.35023</v>
      </c>
      <c r="H12" s="6" t="n">
        <v>0.00198</v>
      </c>
      <c r="I12" s="6" t="n">
        <v>0.00359</v>
      </c>
      <c r="J12" s="6" t="n">
        <v>1.81</v>
      </c>
      <c r="K12" s="29" t="n">
        <v>0</v>
      </c>
    </row>
    <row r="13" customFormat="false" ht="15" hidden="false" customHeight="true" outlineLevel="0" collapsed="false">
      <c r="A13" s="8" t="s">
        <v>178</v>
      </c>
      <c r="B13" s="8" t="s">
        <v>135</v>
      </c>
      <c r="C13" s="8" t="s">
        <v>179</v>
      </c>
      <c r="D13" s="8" t="s">
        <v>161</v>
      </c>
      <c r="E13" s="8" t="n">
        <v>1.35376</v>
      </c>
      <c r="F13" s="8" t="n">
        <v>1.35564</v>
      </c>
      <c r="G13" s="8" t="n">
        <v>1.35004</v>
      </c>
      <c r="H13" s="8" t="n">
        <v>0.00188</v>
      </c>
      <c r="I13" s="8" t="n">
        <v>0.00372</v>
      </c>
      <c r="J13" s="8" t="n">
        <v>1.98</v>
      </c>
      <c r="K13" s="31" t="n">
        <v>0</v>
      </c>
    </row>
    <row r="14" customFormat="false" ht="15" hidden="false" customHeight="true" outlineLevel="0" collapsed="false">
      <c r="A14" s="6" t="s">
        <v>180</v>
      </c>
      <c r="B14" s="6" t="s">
        <v>135</v>
      </c>
      <c r="C14" s="6" t="s">
        <v>181</v>
      </c>
      <c r="D14" s="6" t="s">
        <v>161</v>
      </c>
      <c r="E14" s="6" t="n">
        <v>1.35343</v>
      </c>
      <c r="F14" s="6" t="n">
        <v>1.35535</v>
      </c>
      <c r="G14" s="6" t="n">
        <v>1.34989</v>
      </c>
      <c r="H14" s="6" t="n">
        <v>0.00192</v>
      </c>
      <c r="I14" s="6" t="n">
        <v>0.00354</v>
      </c>
      <c r="J14" s="6" t="n">
        <v>1.84</v>
      </c>
      <c r="K14" s="29" t="n">
        <v>0</v>
      </c>
    </row>
    <row r="15" customFormat="false" ht="15" hidden="false" customHeight="true" outlineLevel="0" collapsed="false">
      <c r="A15" s="8" t="s">
        <v>182</v>
      </c>
      <c r="B15" s="8" t="s">
        <v>135</v>
      </c>
      <c r="C15" s="8" t="s">
        <v>183</v>
      </c>
      <c r="D15" s="8" t="s">
        <v>161</v>
      </c>
      <c r="E15" s="8" t="n">
        <v>1.35342</v>
      </c>
      <c r="F15" s="8" t="n">
        <v>1.35505</v>
      </c>
      <c r="G15" s="8" t="n">
        <v>1.34985</v>
      </c>
      <c r="H15" s="8" t="n">
        <v>0.00163</v>
      </c>
      <c r="I15" s="8" t="n">
        <v>0.00357</v>
      </c>
      <c r="J15" s="8" t="n">
        <v>2.19</v>
      </c>
      <c r="K15" s="31" t="n">
        <v>0</v>
      </c>
    </row>
    <row r="16" customFormat="false" ht="15" hidden="false" customHeight="true" outlineLevel="0" collapsed="false">
      <c r="A16" s="6" t="s">
        <v>184</v>
      </c>
      <c r="B16" s="6" t="s">
        <v>135</v>
      </c>
      <c r="C16" s="6" t="s">
        <v>185</v>
      </c>
      <c r="D16" s="6" t="s">
        <v>161</v>
      </c>
      <c r="E16" s="6" t="n">
        <v>1.35338</v>
      </c>
      <c r="F16" s="6" t="n">
        <v>1.35523</v>
      </c>
      <c r="G16" s="6" t="n">
        <v>1.34985</v>
      </c>
      <c r="H16" s="6" t="n">
        <v>0.00185</v>
      </c>
      <c r="I16" s="6" t="n">
        <v>0.00353</v>
      </c>
      <c r="J16" s="6" t="n">
        <v>1.91</v>
      </c>
      <c r="K16" s="29" t="n">
        <v>0</v>
      </c>
    </row>
    <row r="17" customFormat="false" ht="15" hidden="false" customHeight="true" outlineLevel="0" collapsed="false">
      <c r="A17" s="8" t="s">
        <v>186</v>
      </c>
      <c r="B17" s="8" t="s">
        <v>135</v>
      </c>
      <c r="C17" s="8" t="s">
        <v>187</v>
      </c>
      <c r="D17" s="8" t="s">
        <v>161</v>
      </c>
      <c r="E17" s="8" t="n">
        <v>1.35514</v>
      </c>
      <c r="F17" s="8" t="n">
        <v>1.35723</v>
      </c>
      <c r="G17" s="8" t="n">
        <v>1.35157</v>
      </c>
      <c r="H17" s="8" t="n">
        <v>0.00209</v>
      </c>
      <c r="I17" s="8" t="n">
        <v>0.00357</v>
      </c>
      <c r="J17" s="8" t="n">
        <v>1.71</v>
      </c>
      <c r="K17" s="31" t="n">
        <v>0</v>
      </c>
    </row>
    <row r="18" customFormat="false" ht="15" hidden="false" customHeight="true" outlineLevel="0" collapsed="false">
      <c r="A18" s="6" t="s">
        <v>188</v>
      </c>
      <c r="B18" s="6" t="s">
        <v>135</v>
      </c>
      <c r="C18" s="6" t="s">
        <v>189</v>
      </c>
      <c r="D18" s="6" t="s">
        <v>161</v>
      </c>
      <c r="E18" s="6" t="n">
        <v>1.35478</v>
      </c>
      <c r="F18" s="6" t="n">
        <v>1.35675</v>
      </c>
      <c r="G18" s="6" t="n">
        <v>1.35131</v>
      </c>
      <c r="H18" s="6" t="n">
        <v>0.00197</v>
      </c>
      <c r="I18" s="6" t="n">
        <v>0.00347</v>
      </c>
      <c r="J18" s="6" t="n">
        <v>1.76</v>
      </c>
      <c r="K18" s="29" t="n">
        <v>0</v>
      </c>
    </row>
    <row r="19" customFormat="false" ht="15" hidden="false" customHeight="true" outlineLevel="0" collapsed="false">
      <c r="A19" s="8" t="s">
        <v>190</v>
      </c>
      <c r="B19" s="8" t="s">
        <v>135</v>
      </c>
      <c r="C19" s="8" t="s">
        <v>191</v>
      </c>
      <c r="D19" s="8" t="s">
        <v>161</v>
      </c>
      <c r="E19" s="8" t="n">
        <v>1.35472</v>
      </c>
      <c r="F19" s="8" t="n">
        <v>1.35648</v>
      </c>
      <c r="G19" s="8" t="n">
        <v>1.35102</v>
      </c>
      <c r="H19" s="8" t="n">
        <v>0.00176</v>
      </c>
      <c r="I19" s="8" t="n">
        <v>0.0037</v>
      </c>
      <c r="J19" s="8" t="n">
        <v>2.1</v>
      </c>
      <c r="K19" s="31" t="n">
        <v>0</v>
      </c>
    </row>
    <row r="20" customFormat="false" ht="15" hidden="false" customHeight="true" outlineLevel="0" collapsed="false">
      <c r="A20" s="6" t="s">
        <v>192</v>
      </c>
      <c r="B20" s="6" t="s">
        <v>135</v>
      </c>
      <c r="C20" s="6" t="s">
        <v>193</v>
      </c>
      <c r="D20" s="6" t="s">
        <v>161</v>
      </c>
      <c r="E20" s="6" t="n">
        <v>1.35459</v>
      </c>
      <c r="F20" s="6" t="n">
        <v>1.35633</v>
      </c>
      <c r="G20" s="6" t="n">
        <v>1.35081</v>
      </c>
      <c r="H20" s="6" t="n">
        <v>0.00174</v>
      </c>
      <c r="I20" s="6" t="n">
        <v>0.00378</v>
      </c>
      <c r="J20" s="6" t="n">
        <v>2.17</v>
      </c>
      <c r="K20" s="29" t="n">
        <v>0</v>
      </c>
    </row>
    <row r="21" customFormat="false" ht="15" hidden="false" customHeight="true" outlineLevel="0" collapsed="false">
      <c r="A21" s="8" t="s">
        <v>194</v>
      </c>
      <c r="B21" s="8" t="s">
        <v>135</v>
      </c>
      <c r="C21" s="8" t="s">
        <v>195</v>
      </c>
      <c r="D21" s="8" t="s">
        <v>161</v>
      </c>
      <c r="E21" s="8" t="n">
        <v>1.35432</v>
      </c>
      <c r="F21" s="8" t="n">
        <v>1.35618</v>
      </c>
      <c r="G21" s="8" t="n">
        <v>1.35098</v>
      </c>
      <c r="H21" s="8" t="n">
        <v>0.00186</v>
      </c>
      <c r="I21" s="8" t="n">
        <v>0.00334</v>
      </c>
      <c r="J21" s="8" t="n">
        <v>1.8</v>
      </c>
      <c r="K21" s="31" t="n">
        <v>0</v>
      </c>
    </row>
    <row r="22" customFormat="false" ht="15" hidden="false" customHeight="true" outlineLevel="0" collapsed="false">
      <c r="A22" s="6" t="s">
        <v>196</v>
      </c>
      <c r="B22" s="6" t="s">
        <v>135</v>
      </c>
      <c r="C22" s="6" t="s">
        <v>197</v>
      </c>
      <c r="D22" s="6" t="s">
        <v>161</v>
      </c>
      <c r="E22" s="6" t="n">
        <v>1.3541</v>
      </c>
      <c r="F22" s="6" t="n">
        <v>1.35617</v>
      </c>
      <c r="G22" s="6" t="n">
        <v>1.35109</v>
      </c>
      <c r="H22" s="6" t="n">
        <v>0.00207</v>
      </c>
      <c r="I22" s="6" t="n">
        <v>0.00301</v>
      </c>
      <c r="J22" s="6" t="n">
        <v>1.45</v>
      </c>
      <c r="K22" s="29" t="n">
        <v>0</v>
      </c>
    </row>
    <row r="23" customFormat="false" ht="15" hidden="false" customHeight="true" outlineLevel="0" collapsed="false">
      <c r="A23" s="8" t="s">
        <v>198</v>
      </c>
      <c r="B23" s="8" t="s">
        <v>134</v>
      </c>
      <c r="C23" s="8" t="s">
        <v>199</v>
      </c>
      <c r="D23" s="8" t="s">
        <v>43</v>
      </c>
      <c r="E23" s="8" t="n">
        <v>215.549</v>
      </c>
      <c r="F23" s="8" t="n">
        <v>215.336</v>
      </c>
      <c r="G23" s="8" t="n">
        <v>215.994</v>
      </c>
      <c r="H23" s="8" t="n">
        <v>0.213</v>
      </c>
      <c r="I23" s="8" t="n">
        <v>0.445</v>
      </c>
      <c r="J23" s="8" t="n">
        <v>2.09</v>
      </c>
      <c r="K23" s="31" t="n">
        <v>0</v>
      </c>
    </row>
    <row r="24" customFormat="false" ht="15" hidden="false" customHeight="true" outlineLevel="0" collapsed="false">
      <c r="A24" s="6" t="s">
        <v>200</v>
      </c>
      <c r="B24" s="6" t="s">
        <v>135</v>
      </c>
      <c r="C24" s="6" t="s">
        <v>201</v>
      </c>
      <c r="D24" s="6" t="s">
        <v>161</v>
      </c>
      <c r="E24" s="6" t="n">
        <v>1.35393</v>
      </c>
      <c r="F24" s="6" t="n">
        <v>1.35589</v>
      </c>
      <c r="G24" s="6" t="n">
        <v>1.35063</v>
      </c>
      <c r="H24" s="6" t="n">
        <v>0.00196</v>
      </c>
      <c r="I24" s="6" t="n">
        <v>0.0033</v>
      </c>
      <c r="J24" s="6" t="n">
        <v>1.68</v>
      </c>
      <c r="K24" s="29" t="n">
        <v>0</v>
      </c>
    </row>
    <row r="25" customFormat="false" ht="15" hidden="false" customHeight="true" outlineLevel="0" collapsed="false">
      <c r="A25" s="8" t="s">
        <v>202</v>
      </c>
      <c r="B25" s="8" t="s">
        <v>134</v>
      </c>
      <c r="C25" s="8" t="s">
        <v>203</v>
      </c>
      <c r="D25" s="8" t="s">
        <v>43</v>
      </c>
      <c r="E25" s="8" t="n">
        <v>215.61</v>
      </c>
      <c r="F25" s="8" t="n">
        <v>215.331</v>
      </c>
      <c r="G25" s="8" t="n">
        <v>216.015</v>
      </c>
      <c r="H25" s="8" t="n">
        <v>0.279</v>
      </c>
      <c r="I25" s="8" t="n">
        <v>0.405</v>
      </c>
      <c r="J25" s="8" t="n">
        <v>1.45</v>
      </c>
      <c r="K25" s="31" t="n">
        <v>0</v>
      </c>
    </row>
    <row r="26" customFormat="false" ht="15" hidden="false" customHeight="true" outlineLevel="0" collapsed="false">
      <c r="A26" s="6" t="s">
        <v>204</v>
      </c>
      <c r="B26" s="6" t="s">
        <v>135</v>
      </c>
      <c r="C26" s="6" t="s">
        <v>205</v>
      </c>
      <c r="D26" s="6" t="s">
        <v>161</v>
      </c>
      <c r="E26" s="6" t="n">
        <v>1.35211</v>
      </c>
      <c r="F26" s="6" t="n">
        <v>1.35536</v>
      </c>
      <c r="G26" s="6" t="n">
        <v>1.34908</v>
      </c>
      <c r="H26" s="6" t="n">
        <v>0.00325</v>
      </c>
      <c r="I26" s="6" t="n">
        <v>0.00303</v>
      </c>
      <c r="J26" s="6" t="n">
        <v>0.93</v>
      </c>
      <c r="K26" s="29" t="n">
        <v>0</v>
      </c>
    </row>
    <row r="27" customFormat="false" ht="15" hidden="false" customHeight="true" outlineLevel="0" collapsed="false">
      <c r="A27" s="8" t="s">
        <v>206</v>
      </c>
      <c r="B27" s="8" t="s">
        <v>133</v>
      </c>
      <c r="C27" s="8" t="s">
        <v>207</v>
      </c>
      <c r="D27" s="8" t="s">
        <v>161</v>
      </c>
      <c r="E27" s="8" t="n">
        <v>1.17718</v>
      </c>
      <c r="F27" s="8" t="n">
        <v>1.17892</v>
      </c>
      <c r="G27" s="8" t="n">
        <v>1.17377</v>
      </c>
      <c r="H27" s="8" t="n">
        <v>0.00174</v>
      </c>
      <c r="I27" s="8" t="n">
        <v>0.00341</v>
      </c>
      <c r="J27" s="8" t="n">
        <v>1.96</v>
      </c>
      <c r="K27" s="31" t="n">
        <v>0</v>
      </c>
    </row>
    <row r="28" customFormat="false" ht="15" hidden="false" customHeight="true" outlineLevel="0" collapsed="false">
      <c r="A28" s="6" t="s">
        <v>208</v>
      </c>
      <c r="B28" s="6" t="s">
        <v>135</v>
      </c>
      <c r="C28" s="6" t="s">
        <v>209</v>
      </c>
      <c r="D28" s="6" t="s">
        <v>161</v>
      </c>
      <c r="E28" s="6" t="n">
        <v>1.35347</v>
      </c>
      <c r="F28" s="6" t="n">
        <v>1.35575</v>
      </c>
      <c r="G28" s="6" t="n">
        <v>1.34838</v>
      </c>
      <c r="H28" s="6" t="n">
        <v>0.00228</v>
      </c>
      <c r="I28" s="6" t="n">
        <v>0.00509</v>
      </c>
      <c r="J28" s="6" t="n">
        <v>2.23</v>
      </c>
      <c r="K28" s="29" t="n">
        <v>0</v>
      </c>
    </row>
    <row r="29" customFormat="false" ht="15" hidden="false" customHeight="true" outlineLevel="0" collapsed="false">
      <c r="A29" s="8" t="s">
        <v>210</v>
      </c>
      <c r="B29" s="8" t="s">
        <v>135</v>
      </c>
      <c r="C29" s="8" t="s">
        <v>211</v>
      </c>
      <c r="D29" s="8" t="s">
        <v>161</v>
      </c>
      <c r="E29" s="8" t="n">
        <v>1.3535</v>
      </c>
      <c r="F29" s="8" t="n">
        <v>1.35598</v>
      </c>
      <c r="G29" s="8" t="n">
        <v>1.34831</v>
      </c>
      <c r="H29" s="8" t="n">
        <v>0.00248</v>
      </c>
      <c r="I29" s="8" t="n">
        <v>0.00519</v>
      </c>
      <c r="J29" s="8" t="n">
        <v>2.09</v>
      </c>
      <c r="K29" s="31" t="n">
        <v>0</v>
      </c>
    </row>
    <row r="30" customFormat="false" ht="15" hidden="false" customHeight="true" outlineLevel="0" collapsed="false">
      <c r="A30" s="6" t="s">
        <v>212</v>
      </c>
      <c r="B30" s="6" t="s">
        <v>135</v>
      </c>
      <c r="C30" s="6" t="s">
        <v>213</v>
      </c>
      <c r="D30" s="6" t="s">
        <v>161</v>
      </c>
      <c r="E30" s="6" t="n">
        <v>1.35353</v>
      </c>
      <c r="F30" s="6" t="n">
        <v>1.356</v>
      </c>
      <c r="G30" s="6" t="n">
        <v>1.34849</v>
      </c>
      <c r="H30" s="6" t="n">
        <v>0.00247</v>
      </c>
      <c r="I30" s="6" t="n">
        <v>0.00504</v>
      </c>
      <c r="J30" s="6" t="n">
        <v>2.04</v>
      </c>
      <c r="K30" s="29" t="n">
        <v>0</v>
      </c>
    </row>
    <row r="31" customFormat="false" ht="15" hidden="false" customHeight="true" outlineLevel="0" collapsed="false">
      <c r="A31" s="8" t="s">
        <v>214</v>
      </c>
      <c r="B31" s="8" t="s">
        <v>135</v>
      </c>
      <c r="C31" s="8" t="s">
        <v>215</v>
      </c>
      <c r="D31" s="8" t="s">
        <v>161</v>
      </c>
      <c r="E31" s="8" t="n">
        <v>1.35342</v>
      </c>
      <c r="F31" s="8" t="n">
        <v>1.35581</v>
      </c>
      <c r="G31" s="8" t="n">
        <v>1.34816</v>
      </c>
      <c r="H31" s="8" t="n">
        <v>0.00239</v>
      </c>
      <c r="I31" s="8" t="n">
        <v>0.00526</v>
      </c>
      <c r="J31" s="8" t="n">
        <v>2.2</v>
      </c>
      <c r="K31" s="31" t="n">
        <v>0</v>
      </c>
    </row>
    <row r="32" customFormat="false" ht="15" hidden="false" customHeight="true" outlineLevel="0" collapsed="false">
      <c r="A32" s="6" t="s">
        <v>216</v>
      </c>
      <c r="B32" s="6" t="s">
        <v>135</v>
      </c>
      <c r="C32" s="6" t="s">
        <v>217</v>
      </c>
      <c r="D32" s="6" t="s">
        <v>161</v>
      </c>
      <c r="E32" s="6" t="n">
        <v>1.35308</v>
      </c>
      <c r="F32" s="6" t="n">
        <v>1.35611</v>
      </c>
      <c r="G32" s="6" t="n">
        <v>1.34777</v>
      </c>
      <c r="H32" s="6" t="n">
        <v>0.00303</v>
      </c>
      <c r="I32" s="6" t="n">
        <v>0.00531</v>
      </c>
      <c r="J32" s="6" t="n">
        <v>1.75</v>
      </c>
      <c r="K32" s="29" t="n">
        <v>0</v>
      </c>
    </row>
    <row r="33" customFormat="false" ht="15" hidden="false" customHeight="true" outlineLevel="0" collapsed="false">
      <c r="A33" s="8" t="s">
        <v>218</v>
      </c>
      <c r="B33" s="8" t="s">
        <v>135</v>
      </c>
      <c r="C33" s="8" t="s">
        <v>219</v>
      </c>
      <c r="D33" s="8" t="s">
        <v>161</v>
      </c>
      <c r="E33" s="8" t="n">
        <v>1.35268</v>
      </c>
      <c r="F33" s="8" t="n">
        <v>1.35569</v>
      </c>
      <c r="G33" s="8" t="n">
        <v>1.34741</v>
      </c>
      <c r="H33" s="8" t="n">
        <v>0.00301</v>
      </c>
      <c r="I33" s="8" t="n">
        <v>0.00527</v>
      </c>
      <c r="J33" s="8" t="n">
        <v>1.75</v>
      </c>
      <c r="K33" s="31" t="n">
        <v>0</v>
      </c>
    </row>
    <row r="34" customFormat="false" ht="15" hidden="false" customHeight="true" outlineLevel="0" collapsed="false">
      <c r="A34" s="6" t="s">
        <v>220</v>
      </c>
      <c r="B34" s="6" t="s">
        <v>135</v>
      </c>
      <c r="C34" s="6" t="s">
        <v>221</v>
      </c>
      <c r="D34" s="6" t="s">
        <v>161</v>
      </c>
      <c r="E34" s="6" t="n">
        <v>1.35279</v>
      </c>
      <c r="F34" s="6" t="n">
        <v>1.35566</v>
      </c>
      <c r="G34" s="6" t="n">
        <v>1.34742</v>
      </c>
      <c r="H34" s="6" t="n">
        <v>0.00287</v>
      </c>
      <c r="I34" s="6" t="n">
        <v>0.00537</v>
      </c>
      <c r="J34" s="6" t="n">
        <v>1.87</v>
      </c>
      <c r="K34" s="29" t="n">
        <v>0</v>
      </c>
    </row>
    <row r="35" customFormat="false" ht="15" hidden="false" customHeight="true" outlineLevel="0" collapsed="false">
      <c r="A35" s="8" t="s">
        <v>222</v>
      </c>
      <c r="B35" s="8" t="s">
        <v>133</v>
      </c>
      <c r="C35" s="8" t="s">
        <v>223</v>
      </c>
      <c r="D35" s="8" t="s">
        <v>161</v>
      </c>
      <c r="E35" s="8" t="n">
        <v>1.17691</v>
      </c>
      <c r="F35" s="8" t="n">
        <v>1.17914</v>
      </c>
      <c r="G35" s="8" t="n">
        <v>1.1733</v>
      </c>
      <c r="H35" s="8" t="n">
        <v>0.00223</v>
      </c>
      <c r="I35" s="8" t="n">
        <v>0.00361</v>
      </c>
      <c r="J35" s="8" t="n">
        <v>1.62</v>
      </c>
      <c r="K35" s="31" t="n">
        <v>0</v>
      </c>
    </row>
    <row r="36" customFormat="false" ht="15" hidden="false" customHeight="true" outlineLevel="0" collapsed="false">
      <c r="A36" s="6" t="s">
        <v>224</v>
      </c>
      <c r="B36" s="6" t="s">
        <v>135</v>
      </c>
      <c r="C36" s="6" t="s">
        <v>225</v>
      </c>
      <c r="D36" s="6" t="s">
        <v>161</v>
      </c>
      <c r="E36" s="6" t="n">
        <v>1.35265</v>
      </c>
      <c r="F36" s="6" t="n">
        <v>1.35562</v>
      </c>
      <c r="G36" s="6" t="n">
        <v>1.34761</v>
      </c>
      <c r="H36" s="6" t="n">
        <v>0.00297</v>
      </c>
      <c r="I36" s="6" t="n">
        <v>0.00504</v>
      </c>
      <c r="J36" s="6" t="n">
        <v>1.7</v>
      </c>
      <c r="K36" s="29" t="n">
        <v>0</v>
      </c>
    </row>
    <row r="37" customFormat="false" ht="15" hidden="false" customHeight="true" outlineLevel="0" collapsed="false">
      <c r="A37" s="8" t="s">
        <v>226</v>
      </c>
      <c r="B37" s="8" t="s">
        <v>135</v>
      </c>
      <c r="C37" s="8" t="s">
        <v>227</v>
      </c>
      <c r="D37" s="8" t="s">
        <v>161</v>
      </c>
      <c r="E37" s="8" t="n">
        <v>1.35256</v>
      </c>
      <c r="F37" s="8" t="n">
        <v>1.35532</v>
      </c>
      <c r="G37" s="8" t="n">
        <v>1.34761</v>
      </c>
      <c r="H37" s="8" t="n">
        <v>0.00276</v>
      </c>
      <c r="I37" s="8" t="n">
        <v>0.00495</v>
      </c>
      <c r="J37" s="8" t="n">
        <v>1.79</v>
      </c>
      <c r="K37" s="31" t="n">
        <v>0</v>
      </c>
    </row>
    <row r="38" customFormat="false" ht="15" hidden="false" customHeight="true" outlineLevel="0" collapsed="false">
      <c r="A38" s="6" t="s">
        <v>228</v>
      </c>
      <c r="B38" s="6" t="s">
        <v>42</v>
      </c>
      <c r="C38" s="6" t="s">
        <v>229</v>
      </c>
      <c r="D38" s="6" t="s">
        <v>43</v>
      </c>
      <c r="E38" s="6" t="n">
        <v>187.669</v>
      </c>
      <c r="F38" s="6" t="n">
        <v>187.5</v>
      </c>
      <c r="G38" s="6" t="n">
        <v>187.934</v>
      </c>
      <c r="H38" s="6" t="n">
        <v>0.169</v>
      </c>
      <c r="I38" s="6" t="n">
        <v>0.265</v>
      </c>
      <c r="J38" s="6" t="n">
        <v>1.57</v>
      </c>
      <c r="K38" s="29" t="n">
        <v>0</v>
      </c>
    </row>
    <row r="39" customFormat="false" ht="15" hidden="false" customHeight="true" outlineLevel="0" collapsed="false">
      <c r="A39" s="8" t="s">
        <v>230</v>
      </c>
      <c r="B39" s="8" t="s">
        <v>42</v>
      </c>
      <c r="C39" s="8" t="s">
        <v>231</v>
      </c>
      <c r="D39" s="8" t="s">
        <v>43</v>
      </c>
      <c r="E39" s="8" t="n">
        <v>187.734</v>
      </c>
      <c r="F39" s="8" t="n">
        <v>187.537</v>
      </c>
      <c r="G39" s="8" t="n">
        <v>187.976</v>
      </c>
      <c r="H39" s="8" t="n">
        <v>0.197</v>
      </c>
      <c r="I39" s="8" t="n">
        <v>0.242</v>
      </c>
      <c r="J39" s="8" t="n">
        <v>1.23</v>
      </c>
      <c r="K39" s="31" t="n">
        <v>0</v>
      </c>
    </row>
    <row r="40" customFormat="false" ht="15" hidden="false" customHeight="true" outlineLevel="0" collapsed="false">
      <c r="A40" s="6" t="s">
        <v>232</v>
      </c>
      <c r="B40" s="6" t="s">
        <v>42</v>
      </c>
      <c r="C40" s="6" t="s">
        <v>233</v>
      </c>
      <c r="D40" s="6" t="s">
        <v>43</v>
      </c>
      <c r="E40" s="6" t="n">
        <v>187.703</v>
      </c>
      <c r="F40" s="6" t="n">
        <v>187.522</v>
      </c>
      <c r="G40" s="6" t="n">
        <v>188.001</v>
      </c>
      <c r="H40" s="6" t="n">
        <v>0.181</v>
      </c>
      <c r="I40" s="6" t="n">
        <v>0.298</v>
      </c>
      <c r="J40" s="6" t="n">
        <v>1.65</v>
      </c>
      <c r="K40" s="29" t="n">
        <v>0.75</v>
      </c>
    </row>
    <row r="41" customFormat="false" ht="15" hidden="false" customHeight="true" outlineLevel="0" collapsed="false">
      <c r="A41" s="8" t="s">
        <v>234</v>
      </c>
      <c r="B41" s="8" t="s">
        <v>42</v>
      </c>
      <c r="C41" s="8" t="s">
        <v>235</v>
      </c>
      <c r="D41" s="8" t="s">
        <v>43</v>
      </c>
      <c r="E41" s="8" t="n">
        <v>187.742</v>
      </c>
      <c r="F41" s="8" t="n">
        <v>187.57</v>
      </c>
      <c r="G41" s="8" t="n">
        <v>188.052</v>
      </c>
      <c r="H41" s="8" t="n">
        <v>0.172</v>
      </c>
      <c r="I41" s="8" t="n">
        <v>0.31</v>
      </c>
      <c r="J41" s="8" t="n">
        <v>1.8</v>
      </c>
      <c r="K41" s="31" t="n">
        <v>0.75</v>
      </c>
    </row>
    <row r="42" customFormat="false" ht="15" hidden="false" customHeight="true" outlineLevel="0" collapsed="false">
      <c r="A42" s="6" t="s">
        <v>236</v>
      </c>
      <c r="B42" s="6" t="s">
        <v>134</v>
      </c>
      <c r="C42" s="6" t="s">
        <v>237</v>
      </c>
      <c r="D42" s="6" t="s">
        <v>43</v>
      </c>
      <c r="E42" s="6" t="n">
        <v>215.303</v>
      </c>
      <c r="F42" s="6" t="n">
        <v>215.013</v>
      </c>
      <c r="G42" s="6" t="n">
        <v>215.755</v>
      </c>
      <c r="H42" s="6" t="n">
        <v>0.29</v>
      </c>
      <c r="I42" s="6" t="n">
        <v>0.452</v>
      </c>
      <c r="J42" s="6" t="n">
        <v>1.56</v>
      </c>
      <c r="K42" s="29" t="n">
        <v>0.99</v>
      </c>
    </row>
    <row r="43" customFormat="false" ht="15" hidden="false" customHeight="true" outlineLevel="0" collapsed="false">
      <c r="A43" s="8" t="s">
        <v>238</v>
      </c>
      <c r="B43" s="8" t="s">
        <v>135</v>
      </c>
      <c r="C43" s="8" t="s">
        <v>239</v>
      </c>
      <c r="D43" s="8" t="s">
        <v>43</v>
      </c>
      <c r="E43" s="8" t="n">
        <v>1.35256</v>
      </c>
      <c r="F43" s="8" t="n">
        <v>1.35072</v>
      </c>
      <c r="G43" s="8" t="n">
        <v>1.355</v>
      </c>
      <c r="H43" s="8" t="n">
        <v>0.00184</v>
      </c>
      <c r="I43" s="8" t="n">
        <v>0.00244</v>
      </c>
      <c r="J43" s="8" t="n">
        <v>1.33</v>
      </c>
      <c r="K43" s="31" t="n">
        <v>0.6</v>
      </c>
    </row>
    <row r="44" customFormat="false" ht="15" hidden="false" customHeight="true" outlineLevel="0" collapsed="false">
      <c r="A44" s="6" t="s">
        <v>240</v>
      </c>
      <c r="B44" s="6" t="s">
        <v>134</v>
      </c>
      <c r="C44" s="6" t="s">
        <v>241</v>
      </c>
      <c r="D44" s="6" t="s">
        <v>43</v>
      </c>
      <c r="E44" s="6" t="n">
        <v>215.319</v>
      </c>
      <c r="F44" s="6" t="n">
        <v>215.077</v>
      </c>
      <c r="G44" s="6" t="n">
        <v>215.844</v>
      </c>
      <c r="H44" s="6" t="n">
        <v>0.242</v>
      </c>
      <c r="I44" s="6" t="n">
        <v>0.525</v>
      </c>
      <c r="J44" s="6" t="n">
        <v>2.17</v>
      </c>
      <c r="K44" s="29" t="n">
        <v>0</v>
      </c>
    </row>
    <row r="45" customFormat="false" ht="15" hidden="false" customHeight="true" outlineLevel="0" collapsed="false">
      <c r="A45" s="8" t="s">
        <v>242</v>
      </c>
      <c r="B45" s="8" t="s">
        <v>133</v>
      </c>
      <c r="C45" s="8" t="s">
        <v>243</v>
      </c>
      <c r="D45" s="8" t="s">
        <v>43</v>
      </c>
      <c r="E45" s="8" t="n">
        <v>1.17915</v>
      </c>
      <c r="F45" s="8" t="n">
        <v>1.17784</v>
      </c>
      <c r="G45" s="8" t="n">
        <v>1.1814</v>
      </c>
      <c r="H45" s="8" t="n">
        <v>0.00131</v>
      </c>
      <c r="I45" s="8" t="n">
        <v>0.00225</v>
      </c>
      <c r="J45" s="8" t="n">
        <v>1.72</v>
      </c>
      <c r="K45" s="31" t="n">
        <v>0</v>
      </c>
    </row>
    <row r="46" customFormat="false" ht="15" hidden="false" customHeight="true" outlineLevel="0" collapsed="false">
      <c r="A46" s="6" t="s">
        <v>244</v>
      </c>
      <c r="B46" s="6" t="s">
        <v>135</v>
      </c>
      <c r="C46" s="6" t="s">
        <v>245</v>
      </c>
      <c r="D46" s="6" t="s">
        <v>43</v>
      </c>
      <c r="E46" s="6" t="n">
        <v>1.35309</v>
      </c>
      <c r="F46" s="6" t="n">
        <v>1.3511</v>
      </c>
      <c r="G46" s="6" t="n">
        <v>1.35583</v>
      </c>
      <c r="H46" s="6" t="n">
        <v>0.00199</v>
      </c>
      <c r="I46" s="6" t="n">
        <v>0.00274</v>
      </c>
      <c r="J46" s="6" t="n">
        <v>1.38</v>
      </c>
      <c r="K46" s="29" t="n">
        <v>0</v>
      </c>
    </row>
    <row r="47" customFormat="false" ht="15" hidden="false" customHeight="true" outlineLevel="0" collapsed="false">
      <c r="A47" s="8" t="s">
        <v>246</v>
      </c>
      <c r="B47" s="8" t="s">
        <v>134</v>
      </c>
      <c r="C47" s="8" t="s">
        <v>247</v>
      </c>
      <c r="D47" s="8" t="s">
        <v>43</v>
      </c>
      <c r="E47" s="8" t="n">
        <v>215.397</v>
      </c>
      <c r="F47" s="8" t="n">
        <v>215.1</v>
      </c>
      <c r="G47" s="8" t="n">
        <v>215.878</v>
      </c>
      <c r="H47" s="8" t="n">
        <v>0.297</v>
      </c>
      <c r="I47" s="8" t="n">
        <v>0.481</v>
      </c>
      <c r="J47" s="8" t="n">
        <v>1.62</v>
      </c>
      <c r="K47" s="31" t="n">
        <v>0.6</v>
      </c>
    </row>
    <row r="48" customFormat="false" ht="15" hidden="false" customHeight="true" outlineLevel="0" collapsed="false">
      <c r="A48" s="6" t="s">
        <v>248</v>
      </c>
      <c r="B48" s="6" t="s">
        <v>133</v>
      </c>
      <c r="C48" s="6" t="s">
        <v>249</v>
      </c>
      <c r="D48" s="6" t="s">
        <v>43</v>
      </c>
      <c r="E48" s="6" t="n">
        <v>1.17938</v>
      </c>
      <c r="F48" s="6" t="n">
        <v>1.17819</v>
      </c>
      <c r="G48" s="6" t="n">
        <v>1.1818</v>
      </c>
      <c r="H48" s="6" t="n">
        <v>0.00119</v>
      </c>
      <c r="I48" s="6" t="n">
        <v>0.00242</v>
      </c>
      <c r="J48" s="6" t="n">
        <v>2.03</v>
      </c>
      <c r="K48" s="29" t="n">
        <v>0</v>
      </c>
    </row>
    <row r="49" customFormat="false" ht="15" hidden="false" customHeight="true" outlineLevel="0" collapsed="false">
      <c r="A49" s="8" t="s">
        <v>250</v>
      </c>
      <c r="B49" s="8" t="s">
        <v>133</v>
      </c>
      <c r="C49" s="8" t="s">
        <v>251</v>
      </c>
      <c r="D49" s="8" t="s">
        <v>43</v>
      </c>
      <c r="E49" s="8" t="n">
        <v>1.17969</v>
      </c>
      <c r="F49" s="8" t="n">
        <v>1.17803</v>
      </c>
      <c r="G49" s="8" t="n">
        <v>1.18187</v>
      </c>
      <c r="H49" s="8" t="n">
        <v>0.00166</v>
      </c>
      <c r="I49" s="8" t="n">
        <v>0.00218</v>
      </c>
      <c r="J49" s="8" t="n">
        <v>1.31</v>
      </c>
      <c r="K49" s="31" t="n">
        <v>0</v>
      </c>
    </row>
    <row r="50" customFormat="false" ht="15" hidden="false" customHeight="true" outlineLevel="0" collapsed="false">
      <c r="A50" s="6" t="s">
        <v>252</v>
      </c>
      <c r="B50" s="6" t="s">
        <v>133</v>
      </c>
      <c r="C50" s="6" t="s">
        <v>253</v>
      </c>
      <c r="D50" s="6" t="s">
        <v>43</v>
      </c>
      <c r="E50" s="6" t="n">
        <v>1.17946</v>
      </c>
      <c r="F50" s="6" t="n">
        <v>1.17817</v>
      </c>
      <c r="G50" s="6" t="n">
        <v>1.18211</v>
      </c>
      <c r="H50" s="6" t="n">
        <v>0.00129</v>
      </c>
      <c r="I50" s="6" t="n">
        <v>0.00265</v>
      </c>
      <c r="J50" s="6" t="n">
        <v>2.05</v>
      </c>
      <c r="K50" s="29" t="n">
        <v>0</v>
      </c>
    </row>
    <row r="51" customFormat="false" ht="15" hidden="false" customHeight="true" outlineLevel="0" collapsed="false">
      <c r="A51" s="8" t="s">
        <v>254</v>
      </c>
      <c r="B51" s="8" t="s">
        <v>135</v>
      </c>
      <c r="C51" s="8" t="s">
        <v>255</v>
      </c>
      <c r="D51" s="8" t="s">
        <v>43</v>
      </c>
      <c r="E51" s="8" t="n">
        <v>1.35337</v>
      </c>
      <c r="F51" s="8" t="n">
        <v>1.35131</v>
      </c>
      <c r="G51" s="8" t="n">
        <v>1.35651</v>
      </c>
      <c r="H51" s="8" t="n">
        <v>0.00206</v>
      </c>
      <c r="I51" s="8" t="n">
        <v>0.00314</v>
      </c>
      <c r="J51" s="8" t="n">
        <v>1.52</v>
      </c>
      <c r="K51" s="31" t="n">
        <v>0</v>
      </c>
    </row>
    <row r="52" customFormat="false" ht="15" hidden="false" customHeight="true" outlineLevel="0" collapsed="false">
      <c r="A52" s="6" t="s">
        <v>256</v>
      </c>
      <c r="B52" s="6" t="s">
        <v>134</v>
      </c>
      <c r="C52" s="6" t="s">
        <v>257</v>
      </c>
      <c r="D52" s="6" t="s">
        <v>43</v>
      </c>
      <c r="E52" s="6" t="n">
        <v>215.218</v>
      </c>
      <c r="F52" s="6" t="n">
        <v>214.968</v>
      </c>
      <c r="G52" s="6" t="n">
        <v>215.71</v>
      </c>
      <c r="H52" s="6" t="n">
        <v>0.25</v>
      </c>
      <c r="I52" s="6" t="n">
        <v>0.492</v>
      </c>
      <c r="J52" s="6" t="n">
        <v>1.97</v>
      </c>
      <c r="K52" s="29" t="n">
        <v>0</v>
      </c>
    </row>
    <row r="53" customFormat="false" ht="15" hidden="false" customHeight="true" outlineLevel="0" collapsed="false">
      <c r="A53" s="8" t="s">
        <v>258</v>
      </c>
      <c r="B53" s="8" t="s">
        <v>134</v>
      </c>
      <c r="C53" s="8" t="s">
        <v>259</v>
      </c>
      <c r="D53" s="8" t="s">
        <v>43</v>
      </c>
      <c r="E53" s="8" t="n">
        <v>215.264</v>
      </c>
      <c r="F53" s="8" t="n">
        <v>214.975</v>
      </c>
      <c r="G53" s="8" t="n">
        <v>215.727</v>
      </c>
      <c r="H53" s="8" t="n">
        <v>0.289</v>
      </c>
      <c r="I53" s="8" t="n">
        <v>0.463</v>
      </c>
      <c r="J53" s="8" t="n">
        <v>1.6</v>
      </c>
      <c r="K53" s="31" t="n">
        <v>0</v>
      </c>
    </row>
    <row r="54" customFormat="false" ht="15" hidden="false" customHeight="true" outlineLevel="0" collapsed="false">
      <c r="A54" s="6" t="s">
        <v>260</v>
      </c>
      <c r="B54" s="6" t="s">
        <v>134</v>
      </c>
      <c r="C54" s="6" t="s">
        <v>261</v>
      </c>
      <c r="D54" s="6" t="s">
        <v>43</v>
      </c>
      <c r="E54" s="6" t="n">
        <v>215.311</v>
      </c>
      <c r="F54" s="6" t="n">
        <v>215.036</v>
      </c>
      <c r="G54" s="6" t="n">
        <v>215.784</v>
      </c>
      <c r="H54" s="6" t="n">
        <v>0.275</v>
      </c>
      <c r="I54" s="6" t="n">
        <v>0.473</v>
      </c>
      <c r="J54" s="6" t="n">
        <v>1.72</v>
      </c>
      <c r="K54" s="29" t="n">
        <v>0</v>
      </c>
    </row>
    <row r="55" customFormat="false" ht="15" hidden="false" customHeight="true" outlineLevel="0" collapsed="false">
      <c r="A55" s="8" t="s">
        <v>262</v>
      </c>
      <c r="B55" s="8" t="s">
        <v>134</v>
      </c>
      <c r="C55" s="8" t="s">
        <v>263</v>
      </c>
      <c r="D55" s="8" t="s">
        <v>43</v>
      </c>
      <c r="E55" s="8" t="n">
        <v>215.467</v>
      </c>
      <c r="F55" s="8" t="n">
        <v>215.173</v>
      </c>
      <c r="G55" s="8" t="n">
        <v>215.917</v>
      </c>
      <c r="H55" s="8" t="n">
        <v>0.294</v>
      </c>
      <c r="I55" s="8" t="n">
        <v>0.45</v>
      </c>
      <c r="J55" s="8" t="n">
        <v>1.53</v>
      </c>
      <c r="K55" s="31" t="n">
        <v>0</v>
      </c>
    </row>
    <row r="56" customFormat="false" ht="15" hidden="false" customHeight="true" outlineLevel="0" collapsed="false">
      <c r="A56" s="6" t="s">
        <v>264</v>
      </c>
      <c r="B56" s="6" t="s">
        <v>133</v>
      </c>
      <c r="C56" s="6" t="s">
        <v>265</v>
      </c>
      <c r="D56" s="6" t="s">
        <v>43</v>
      </c>
      <c r="E56" s="6" t="n">
        <v>1.18329</v>
      </c>
      <c r="F56" s="6" t="n">
        <v>1.18065</v>
      </c>
      <c r="G56" s="6" t="n">
        <v>1.18598</v>
      </c>
      <c r="H56" s="6" t="n">
        <v>0.00264</v>
      </c>
      <c r="I56" s="6" t="n">
        <v>0.00269</v>
      </c>
      <c r="J56" s="6" t="n">
        <v>1.02</v>
      </c>
      <c r="K56" s="29" t="n">
        <v>0</v>
      </c>
    </row>
    <row r="57" customFormat="false" ht="15" hidden="false" customHeight="true" outlineLevel="0" collapsed="false">
      <c r="A57" s="8" t="s">
        <v>266</v>
      </c>
      <c r="B57" s="8" t="s">
        <v>135</v>
      </c>
      <c r="C57" s="8" t="s">
        <v>267</v>
      </c>
      <c r="D57" s="8" t="s">
        <v>43</v>
      </c>
      <c r="E57" s="8" t="n">
        <v>1.35791</v>
      </c>
      <c r="F57" s="8" t="n">
        <v>1.35533</v>
      </c>
      <c r="G57" s="8" t="n">
        <v>1.36279</v>
      </c>
      <c r="H57" s="8" t="n">
        <v>0.00258</v>
      </c>
      <c r="I57" s="8" t="n">
        <v>0.00488</v>
      </c>
      <c r="J57" s="8" t="n">
        <v>1.89</v>
      </c>
      <c r="K57" s="31" t="n">
        <v>0</v>
      </c>
    </row>
    <row r="58" customFormat="false" ht="15" hidden="false" customHeight="true" outlineLevel="0" collapsed="false">
      <c r="A58" s="6" t="s">
        <v>268</v>
      </c>
      <c r="B58" s="6" t="s">
        <v>133</v>
      </c>
      <c r="C58" s="6" t="s">
        <v>269</v>
      </c>
      <c r="D58" s="6" t="s">
        <v>43</v>
      </c>
      <c r="E58" s="6" t="n">
        <v>1.18482</v>
      </c>
      <c r="F58" s="6" t="n">
        <v>1.1823</v>
      </c>
      <c r="G58" s="6" t="n">
        <v>1.1881</v>
      </c>
      <c r="H58" s="6" t="n">
        <v>0.00252</v>
      </c>
      <c r="I58" s="6" t="n">
        <v>0.00328</v>
      </c>
      <c r="J58" s="6" t="n">
        <v>1.3</v>
      </c>
      <c r="K58" s="29" t="n">
        <v>0.6</v>
      </c>
    </row>
    <row r="59" customFormat="false" ht="15" hidden="false" customHeight="true" outlineLevel="0" collapsed="false">
      <c r="A59" s="8" t="s">
        <v>270</v>
      </c>
      <c r="B59" s="8" t="s">
        <v>135</v>
      </c>
      <c r="C59" s="8" t="s">
        <v>271</v>
      </c>
      <c r="D59" s="8" t="s">
        <v>43</v>
      </c>
      <c r="E59" s="8" t="n">
        <v>1.35918</v>
      </c>
      <c r="F59" s="8" t="n">
        <v>1.35692</v>
      </c>
      <c r="G59" s="8" t="n">
        <v>1.3651</v>
      </c>
      <c r="H59" s="8" t="n">
        <v>0.00226</v>
      </c>
      <c r="I59" s="8" t="n">
        <v>0.00592</v>
      </c>
      <c r="J59" s="8" t="n">
        <v>2.62</v>
      </c>
      <c r="K59" s="31" t="n">
        <v>0</v>
      </c>
    </row>
    <row r="60" customFormat="false" ht="15" hidden="false" customHeight="true" outlineLevel="0" collapsed="false">
      <c r="A60" s="6" t="s">
        <v>272</v>
      </c>
      <c r="B60" s="6" t="s">
        <v>42</v>
      </c>
      <c r="C60" s="6" t="s">
        <v>273</v>
      </c>
      <c r="D60" s="6" t="s">
        <v>43</v>
      </c>
      <c r="E60" s="6" t="n">
        <v>187.228</v>
      </c>
      <c r="F60" s="6" t="n">
        <v>187.106</v>
      </c>
      <c r="G60" s="6" t="n">
        <v>187.852</v>
      </c>
      <c r="H60" s="6" t="n">
        <v>0.122</v>
      </c>
      <c r="I60" s="6" t="n">
        <v>0.624</v>
      </c>
      <c r="J60" s="6" t="n">
        <v>5.11</v>
      </c>
      <c r="K60" s="29" t="n">
        <v>0</v>
      </c>
    </row>
    <row r="61" customFormat="false" ht="15" hidden="false" customHeight="true" outlineLevel="0" collapsed="false">
      <c r="A61" s="8" t="s">
        <v>274</v>
      </c>
      <c r="B61" s="8" t="s">
        <v>134</v>
      </c>
      <c r="C61" s="8" t="s">
        <v>275</v>
      </c>
      <c r="D61" s="8" t="s">
        <v>161</v>
      </c>
      <c r="E61" s="8" t="n">
        <v>214.715</v>
      </c>
      <c r="F61" s="8" t="n">
        <v>215.092</v>
      </c>
      <c r="G61" s="8" t="n">
        <v>213.999</v>
      </c>
      <c r="H61" s="8" t="n">
        <v>0.377</v>
      </c>
      <c r="I61" s="8" t="n">
        <v>0.716</v>
      </c>
      <c r="J61" s="8" t="n">
        <v>1.9</v>
      </c>
      <c r="K61" s="31" t="n">
        <v>0.75</v>
      </c>
    </row>
    <row r="62" customFormat="false" ht="15" hidden="false" customHeight="true" outlineLevel="0" collapsed="false">
      <c r="A62" s="6" t="s">
        <v>276</v>
      </c>
      <c r="B62" s="6" t="s">
        <v>42</v>
      </c>
      <c r="C62" s="6" t="s">
        <v>277</v>
      </c>
      <c r="D62" s="6" t="s">
        <v>161</v>
      </c>
      <c r="E62" s="6" t="n">
        <v>186.94</v>
      </c>
      <c r="F62" s="6" t="n">
        <v>187.389</v>
      </c>
      <c r="G62" s="6" t="n">
        <v>186.452</v>
      </c>
      <c r="H62" s="6" t="n">
        <v>0.449</v>
      </c>
      <c r="I62" s="6" t="n">
        <v>0.488</v>
      </c>
      <c r="J62" s="6" t="n">
        <v>1.09</v>
      </c>
      <c r="K62" s="29" t="n">
        <v>0.6</v>
      </c>
    </row>
    <row r="63" customFormat="false" ht="15" hidden="false" customHeight="true" outlineLevel="0" collapsed="false">
      <c r="A63" s="8" t="s">
        <v>278</v>
      </c>
      <c r="B63" s="8" t="s">
        <v>134</v>
      </c>
      <c r="C63" s="8" t="s">
        <v>279</v>
      </c>
      <c r="D63" s="8" t="s">
        <v>161</v>
      </c>
      <c r="E63" s="8" t="n">
        <v>214.571</v>
      </c>
      <c r="F63" s="8" t="n">
        <v>214.966</v>
      </c>
      <c r="G63" s="8" t="n">
        <v>213.792</v>
      </c>
      <c r="H63" s="8" t="n">
        <v>0.395</v>
      </c>
      <c r="I63" s="8" t="n">
        <v>0.779</v>
      </c>
      <c r="J63" s="8" t="n">
        <v>1.97</v>
      </c>
      <c r="K63" s="31" t="n">
        <v>0</v>
      </c>
    </row>
    <row r="64" customFormat="false" ht="15" hidden="false" customHeight="true" outlineLevel="0" collapsed="false">
      <c r="A64" s="6" t="s">
        <v>280</v>
      </c>
      <c r="B64" s="6" t="s">
        <v>133</v>
      </c>
      <c r="C64" s="6" t="s">
        <v>281</v>
      </c>
      <c r="D64" s="6" t="s">
        <v>43</v>
      </c>
      <c r="E64" s="6" t="n">
        <v>1.18244</v>
      </c>
      <c r="F64" s="6" t="n">
        <v>1.17944</v>
      </c>
      <c r="G64" s="6" t="n">
        <v>1.18769</v>
      </c>
      <c r="H64" s="6" t="n">
        <v>0.003</v>
      </c>
      <c r="I64" s="6" t="n">
        <v>0.00525</v>
      </c>
      <c r="J64" s="6" t="n">
        <v>1.75</v>
      </c>
      <c r="K64" s="29" t="n">
        <v>0</v>
      </c>
    </row>
    <row r="65" customFormat="false" ht="15" hidden="false" customHeight="true" outlineLevel="0" collapsed="false">
      <c r="A65" s="8" t="s">
        <v>282</v>
      </c>
      <c r="B65" s="8" t="s">
        <v>42</v>
      </c>
      <c r="C65" s="8" t="s">
        <v>283</v>
      </c>
      <c r="D65" s="8" t="s">
        <v>161</v>
      </c>
      <c r="E65" s="8" t="n">
        <v>186.795</v>
      </c>
      <c r="F65" s="8" t="n">
        <v>187.18</v>
      </c>
      <c r="G65" s="8" t="n">
        <v>186.078</v>
      </c>
      <c r="H65" s="8" t="n">
        <v>0.385</v>
      </c>
      <c r="I65" s="8" t="n">
        <v>0.717</v>
      </c>
      <c r="J65" s="8" t="n">
        <v>1.86</v>
      </c>
      <c r="K65" s="31" t="n">
        <v>0</v>
      </c>
    </row>
    <row r="66" customFormat="false" ht="15" hidden="false" customHeight="true" outlineLevel="0" collapsed="false">
      <c r="A66" s="6" t="s">
        <v>284</v>
      </c>
      <c r="B66" s="6" t="s">
        <v>133</v>
      </c>
      <c r="C66" s="6" t="s">
        <v>285</v>
      </c>
      <c r="D66" s="6" t="s">
        <v>43</v>
      </c>
      <c r="E66" s="6" t="n">
        <v>1.18291</v>
      </c>
      <c r="F66" s="6" t="n">
        <v>1.17963</v>
      </c>
      <c r="G66" s="6" t="n">
        <v>1.18807</v>
      </c>
      <c r="H66" s="6" t="n">
        <v>0.00328</v>
      </c>
      <c r="I66" s="6" t="n">
        <v>0.00516</v>
      </c>
      <c r="J66" s="6" t="n">
        <v>1.57</v>
      </c>
      <c r="K66" s="29" t="n">
        <v>0</v>
      </c>
    </row>
    <row r="68" customFormat="false" ht="15" hidden="false" customHeight="true" outlineLevel="0" collapsed="false">
      <c r="A68" s="32" t="s">
        <v>399</v>
      </c>
      <c r="H68" s="33" t="n">
        <f aca="false">AVERAGE(H2:H66)</f>
        <v>0.102984</v>
      </c>
      <c r="I68" s="33" t="n">
        <f aca="false">AVERAGE(I2:I66)</f>
        <v>0.181079076923077</v>
      </c>
      <c r="J68" s="34" t="n">
        <f aca="false">AVERAGE(J2:J66)</f>
        <v>1.80830769230769</v>
      </c>
      <c r="K68" s="34" t="n">
        <f aca="false">AVERAGE(K2:K66)</f>
        <v>0.114461538461538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1" width="10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7" min="6" style="1" width="14"/>
    <col collapsed="false" customWidth="true" hidden="false" outlineLevel="0" max="8" min="8" style="1" width="12"/>
    <col collapsed="false" customWidth="true" hidden="false" outlineLevel="0" max="9" min="9" style="1" width="14"/>
  </cols>
  <sheetData>
    <row r="1" customFormat="false" ht="17.25" hidden="false" customHeight="true" outlineLevel="0" collapsed="false">
      <c r="A1" s="28" t="s">
        <v>400</v>
      </c>
    </row>
    <row r="3" customFormat="false" ht="15" hidden="false" customHeight="true" outlineLevel="0" collapsed="false">
      <c r="A3" s="35" t="s">
        <v>39</v>
      </c>
      <c r="B3" s="35" t="s">
        <v>115</v>
      </c>
      <c r="C3" s="35" t="s">
        <v>125</v>
      </c>
      <c r="D3" s="35" t="s">
        <v>401</v>
      </c>
      <c r="E3" s="35" t="s">
        <v>402</v>
      </c>
      <c r="F3" s="35" t="s">
        <v>403</v>
      </c>
      <c r="G3" s="35" t="s">
        <v>404</v>
      </c>
      <c r="H3" s="35" t="s">
        <v>405</v>
      </c>
      <c r="I3" s="35" t="s">
        <v>406</v>
      </c>
    </row>
    <row r="4" customFormat="false" ht="15" hidden="false" customHeight="true" outlineLevel="0" collapsed="false">
      <c r="A4" s="8" t="s">
        <v>42</v>
      </c>
      <c r="B4" s="8" t="n">
        <v>7</v>
      </c>
      <c r="C4" s="8" t="n">
        <v>7</v>
      </c>
      <c r="D4" s="9" t="n">
        <f aca="false">IFERROR(C4/B4,0)</f>
        <v>1</v>
      </c>
      <c r="E4" s="9" t="n">
        <v>0.792857142857143</v>
      </c>
      <c r="F4" s="8" t="n">
        <v>5</v>
      </c>
      <c r="G4" s="8" t="n">
        <v>2</v>
      </c>
      <c r="H4" s="8" t="n">
        <v>9</v>
      </c>
      <c r="I4" s="8" t="n">
        <v>7</v>
      </c>
    </row>
    <row r="5" customFormat="false" ht="15" hidden="false" customHeight="true" outlineLevel="0" collapsed="false">
      <c r="A5" s="6" t="s">
        <v>133</v>
      </c>
      <c r="B5" s="6" t="n">
        <v>14</v>
      </c>
      <c r="C5" s="6" t="n">
        <v>11</v>
      </c>
      <c r="D5" s="7" t="n">
        <f aca="false">IFERROR(C5/B5,0)</f>
        <v>0.785714285714286</v>
      </c>
      <c r="E5" s="7" t="n">
        <v>0.778571428571429</v>
      </c>
      <c r="F5" s="6" t="n">
        <v>9</v>
      </c>
      <c r="G5" s="6" t="n">
        <v>5</v>
      </c>
      <c r="H5" s="6" t="n">
        <v>13</v>
      </c>
      <c r="I5" s="6" t="n">
        <v>12</v>
      </c>
    </row>
    <row r="6" customFormat="false" ht="15" hidden="false" customHeight="true" outlineLevel="0" collapsed="false">
      <c r="A6" s="8" t="s">
        <v>134</v>
      </c>
      <c r="B6" s="8" t="n">
        <v>51</v>
      </c>
      <c r="C6" s="8" t="n">
        <v>18</v>
      </c>
      <c r="D6" s="9" t="n">
        <f aca="false">IFERROR(C6/B6,0)</f>
        <v>0.352941176470588</v>
      </c>
      <c r="E6" s="9" t="n">
        <v>0.814705882352942</v>
      </c>
      <c r="F6" s="8" t="n">
        <v>27</v>
      </c>
      <c r="G6" s="8" t="n">
        <v>24</v>
      </c>
      <c r="H6" s="8" t="n">
        <v>23</v>
      </c>
      <c r="I6" s="8" t="n">
        <v>22</v>
      </c>
    </row>
    <row r="7" customFormat="false" ht="15" hidden="false" customHeight="true" outlineLevel="0" collapsed="false">
      <c r="A7" s="6" t="s">
        <v>135</v>
      </c>
      <c r="B7" s="6" t="n">
        <v>35</v>
      </c>
      <c r="C7" s="6" t="n">
        <v>29</v>
      </c>
      <c r="D7" s="7" t="n">
        <f aca="false">IFERROR(C7/B7,0)</f>
        <v>0.828571428571429</v>
      </c>
      <c r="E7" s="7" t="n">
        <v>0.812857142857143</v>
      </c>
      <c r="F7" s="6" t="n">
        <v>9</v>
      </c>
      <c r="G7" s="6" t="n">
        <v>26</v>
      </c>
      <c r="H7" s="6" t="n">
        <v>40</v>
      </c>
      <c r="I7" s="6" t="n">
        <v>30</v>
      </c>
    </row>
    <row r="8" customFormat="false" ht="15" hidden="false" customHeight="true" outlineLevel="0" collapsed="false">
      <c r="A8" s="8" t="s">
        <v>61</v>
      </c>
      <c r="B8" s="8" t="n">
        <f aca="false">SUM(B4:B7)</f>
        <v>107</v>
      </c>
      <c r="C8" s="8" t="n">
        <f aca="false">SUM(C4:C7)</f>
        <v>65</v>
      </c>
      <c r="D8" s="9" t="n">
        <f aca="false">IFERROR(C8/B8,0)</f>
        <v>0.607476635514019</v>
      </c>
      <c r="E8" s="9" t="n">
        <f aca="false">IFERROR(AVERAGE(E4:E7),0)</f>
        <v>0.799747899159664</v>
      </c>
      <c r="F8" s="8" t="n">
        <f aca="false">SUM(F4:F7)</f>
        <v>50</v>
      </c>
      <c r="G8" s="8" t="n">
        <f aca="false">SUM(G4:G7)</f>
        <v>57</v>
      </c>
      <c r="H8" s="8" t="n">
        <f aca="false">SUM(H4:H7)</f>
        <v>85</v>
      </c>
      <c r="I8" s="8" t="n">
        <f aca="false">SUM(I4:I7)</f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16"/>
  </cols>
  <sheetData>
    <row r="1" customFormat="false" ht="17.25" hidden="false" customHeight="true" outlineLevel="0" collapsed="false">
      <c r="A1" s="28" t="s">
        <v>407</v>
      </c>
    </row>
    <row r="3" customFormat="false" ht="15" hidden="false" customHeight="true" outlineLevel="0" collapsed="false">
      <c r="A3" s="35" t="s">
        <v>124</v>
      </c>
      <c r="B3" s="35" t="s">
        <v>115</v>
      </c>
      <c r="C3" s="35" t="s">
        <v>408</v>
      </c>
      <c r="D3" s="35" t="s">
        <v>409</v>
      </c>
      <c r="E3" s="35" t="s">
        <v>402</v>
      </c>
    </row>
    <row r="4" customFormat="false" ht="15" hidden="false" customHeight="true" outlineLevel="0" collapsed="false">
      <c r="A4" s="8" t="s">
        <v>127</v>
      </c>
      <c r="B4" s="8" t="n">
        <v>24</v>
      </c>
      <c r="C4" s="8" t="n">
        <v>21</v>
      </c>
      <c r="D4" s="9" t="n">
        <f aca="false">IFERROR(C4/B4,0)</f>
        <v>0.875</v>
      </c>
      <c r="E4" s="9" t="n">
        <v>0.85</v>
      </c>
    </row>
    <row r="5" customFormat="false" ht="15" hidden="false" customHeight="true" outlineLevel="0" collapsed="false">
      <c r="A5" s="6" t="s">
        <v>128</v>
      </c>
      <c r="B5" s="6" t="n">
        <v>23</v>
      </c>
      <c r="C5" s="6" t="n">
        <v>3</v>
      </c>
      <c r="D5" s="7" t="n">
        <f aca="false">IFERROR(C5/B5,0)</f>
        <v>0.130434782608696</v>
      </c>
      <c r="E5" s="7" t="n">
        <v>0.85</v>
      </c>
    </row>
    <row r="6" customFormat="false" ht="15" hidden="false" customHeight="true" outlineLevel="0" collapsed="false">
      <c r="A6" s="8" t="s">
        <v>129</v>
      </c>
      <c r="B6" s="8" t="n">
        <v>26</v>
      </c>
      <c r="C6" s="8" t="n">
        <v>26</v>
      </c>
      <c r="D6" s="9" t="n">
        <f aca="false">IFERROR(C6/B6,0)</f>
        <v>1</v>
      </c>
      <c r="E6" s="9" t="n">
        <v>0.753846153846154</v>
      </c>
    </row>
    <row r="7" customFormat="false" ht="15" hidden="false" customHeight="true" outlineLevel="0" collapsed="false">
      <c r="A7" s="6" t="s">
        <v>130</v>
      </c>
      <c r="B7" s="6" t="n">
        <v>34</v>
      </c>
      <c r="C7" s="6" t="n">
        <v>29</v>
      </c>
      <c r="D7" s="7" t="n">
        <f aca="false">IFERROR(C7/B7,0)</f>
        <v>0.852941176470588</v>
      </c>
      <c r="E7" s="7" t="n">
        <v>0.791176470588235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4" min="4" style="1" width="20"/>
    <col collapsed="false" customWidth="true" hidden="false" outlineLevel="0" max="5" min="5" style="1" width="14"/>
    <col collapsed="false" customWidth="true" hidden="false" outlineLevel="0" max="6" min="6" style="1" width="90"/>
  </cols>
  <sheetData>
    <row r="1" customFormat="false" ht="17.25" hidden="false" customHeight="true" outlineLevel="0" collapsed="false">
      <c r="A1" s="28" t="s">
        <v>410</v>
      </c>
    </row>
    <row r="3" customFormat="false" ht="15" hidden="false" customHeight="true" outlineLevel="0" collapsed="false">
      <c r="A3" s="5" t="s">
        <v>287</v>
      </c>
      <c r="B3" s="5" t="s">
        <v>39</v>
      </c>
      <c r="C3" s="5" t="s">
        <v>411</v>
      </c>
      <c r="D3" s="5" t="s">
        <v>3</v>
      </c>
      <c r="E3" s="5" t="s">
        <v>288</v>
      </c>
      <c r="F3" s="5" t="s">
        <v>412</v>
      </c>
    </row>
    <row r="4" customFormat="false" ht="15" hidden="false" customHeight="true" outlineLevel="0" collapsed="false">
      <c r="A4" s="6" t="s">
        <v>413</v>
      </c>
      <c r="B4" s="6" t="s">
        <v>42</v>
      </c>
      <c r="C4" s="6" t="s">
        <v>414</v>
      </c>
      <c r="D4" s="6" t="s">
        <v>415</v>
      </c>
      <c r="E4" s="6" t="s">
        <v>416</v>
      </c>
      <c r="F4" s="6" t="s">
        <v>417</v>
      </c>
    </row>
    <row r="5" customFormat="false" ht="15" hidden="false" customHeight="true" outlineLevel="0" collapsed="false">
      <c r="A5" s="8" t="s">
        <v>413</v>
      </c>
      <c r="B5" s="8" t="s">
        <v>134</v>
      </c>
      <c r="C5" s="8" t="s">
        <v>418</v>
      </c>
      <c r="D5" s="8" t="s">
        <v>419</v>
      </c>
      <c r="E5" s="8" t="s">
        <v>420</v>
      </c>
      <c r="F5" s="8" t="s">
        <v>421</v>
      </c>
    </row>
    <row r="6" customFormat="false" ht="15" hidden="false" customHeight="true" outlineLevel="0" collapsed="false">
      <c r="A6" s="6" t="s">
        <v>413</v>
      </c>
      <c r="B6" s="6" t="s">
        <v>134</v>
      </c>
      <c r="C6" s="6" t="s">
        <v>414</v>
      </c>
      <c r="D6" s="6" t="s">
        <v>422</v>
      </c>
      <c r="E6" s="6" t="s">
        <v>414</v>
      </c>
      <c r="F6" s="6" t="s">
        <v>423</v>
      </c>
    </row>
    <row r="7" customFormat="false" ht="15" hidden="false" customHeight="true" outlineLevel="0" collapsed="false">
      <c r="A7" s="8" t="s">
        <v>413</v>
      </c>
      <c r="B7" s="8" t="s">
        <v>134</v>
      </c>
      <c r="C7" s="8" t="s">
        <v>414</v>
      </c>
      <c r="D7" s="8" t="s">
        <v>419</v>
      </c>
      <c r="E7" s="8" t="s">
        <v>420</v>
      </c>
      <c r="F7" s="8" t="s">
        <v>424</v>
      </c>
    </row>
    <row r="8" customFormat="false" ht="15" hidden="false" customHeight="true" outlineLevel="0" collapsed="false">
      <c r="A8" s="6" t="s">
        <v>425</v>
      </c>
      <c r="B8" s="6" t="s">
        <v>134</v>
      </c>
      <c r="C8" s="6" t="s">
        <v>426</v>
      </c>
      <c r="D8" s="6" t="s">
        <v>427</v>
      </c>
      <c r="E8" s="6" t="s">
        <v>428</v>
      </c>
      <c r="F8" s="6" t="s">
        <v>429</v>
      </c>
    </row>
    <row r="9" customFormat="false" ht="15" hidden="false" customHeight="true" outlineLevel="0" collapsed="false">
      <c r="A9" s="8" t="s">
        <v>430</v>
      </c>
      <c r="B9" s="8" t="s">
        <v>134</v>
      </c>
      <c r="C9" s="8" t="s">
        <v>426</v>
      </c>
      <c r="D9" s="8" t="s">
        <v>427</v>
      </c>
      <c r="E9" s="8" t="s">
        <v>428</v>
      </c>
      <c r="F9" s="8" t="s">
        <v>431</v>
      </c>
    </row>
    <row r="10" customFormat="false" ht="15" hidden="false" customHeight="true" outlineLevel="0" collapsed="false">
      <c r="A10" s="6" t="s">
        <v>432</v>
      </c>
      <c r="B10" s="6" t="s">
        <v>135</v>
      </c>
      <c r="C10" s="6" t="s">
        <v>426</v>
      </c>
      <c r="D10" s="6" t="s">
        <v>427</v>
      </c>
      <c r="E10" s="6" t="s">
        <v>428</v>
      </c>
      <c r="F10" s="6" t="s">
        <v>433</v>
      </c>
    </row>
    <row r="11" customFormat="false" ht="15" hidden="false" customHeight="true" outlineLevel="0" collapsed="false">
      <c r="A11" s="8" t="s">
        <v>432</v>
      </c>
      <c r="B11" s="8" t="s">
        <v>42</v>
      </c>
      <c r="C11" s="8" t="s">
        <v>426</v>
      </c>
      <c r="D11" s="8" t="s">
        <v>427</v>
      </c>
      <c r="E11" s="8" t="s">
        <v>428</v>
      </c>
      <c r="F11" s="8" t="s">
        <v>434</v>
      </c>
    </row>
    <row r="12" customFormat="false" ht="15" hidden="false" customHeight="true" outlineLevel="0" collapsed="false">
      <c r="A12" s="6" t="s">
        <v>432</v>
      </c>
      <c r="B12" s="6" t="s">
        <v>134</v>
      </c>
      <c r="C12" s="6" t="s">
        <v>426</v>
      </c>
      <c r="D12" s="6" t="s">
        <v>427</v>
      </c>
      <c r="E12" s="6" t="s">
        <v>428</v>
      </c>
      <c r="F12" s="6" t="s">
        <v>435</v>
      </c>
    </row>
    <row r="13" customFormat="false" ht="15" hidden="false" customHeight="true" outlineLevel="0" collapsed="false">
      <c r="A13" s="8" t="s">
        <v>436</v>
      </c>
      <c r="B13" s="8" t="s">
        <v>133</v>
      </c>
      <c r="C13" s="8" t="s">
        <v>437</v>
      </c>
      <c r="D13" s="8" t="s">
        <v>438</v>
      </c>
      <c r="E13" s="8"/>
      <c r="F13" s="8" t="s">
        <v>439</v>
      </c>
    </row>
    <row r="14" customFormat="false" ht="15" hidden="false" customHeight="true" outlineLevel="0" collapsed="false">
      <c r="A14" s="6" t="s">
        <v>440</v>
      </c>
      <c r="B14" s="6" t="s">
        <v>133</v>
      </c>
      <c r="C14" s="6" t="s">
        <v>437</v>
      </c>
      <c r="D14" s="6" t="s">
        <v>428</v>
      </c>
      <c r="E14" s="6" t="s">
        <v>428</v>
      </c>
      <c r="F14" s="6" t="s">
        <v>441</v>
      </c>
    </row>
    <row r="15" customFormat="false" ht="15" hidden="false" customHeight="true" outlineLevel="0" collapsed="false">
      <c r="A15" s="8" t="s">
        <v>440</v>
      </c>
      <c r="B15" s="8" t="s">
        <v>135</v>
      </c>
      <c r="C15" s="8" t="s">
        <v>426</v>
      </c>
      <c r="D15" s="8" t="s">
        <v>427</v>
      </c>
      <c r="E15" s="8" t="s">
        <v>428</v>
      </c>
      <c r="F15" s="8" t="s">
        <v>442</v>
      </c>
    </row>
    <row r="16" customFormat="false" ht="15" hidden="false" customHeight="true" outlineLevel="0" collapsed="false">
      <c r="A16" s="6" t="s">
        <v>440</v>
      </c>
      <c r="B16" s="6" t="s">
        <v>42</v>
      </c>
      <c r="C16" s="6" t="s">
        <v>426</v>
      </c>
      <c r="D16" s="6" t="s">
        <v>427</v>
      </c>
      <c r="E16" s="6" t="s">
        <v>428</v>
      </c>
      <c r="F16" s="6" t="s">
        <v>443</v>
      </c>
    </row>
    <row r="17" customFormat="false" ht="15" hidden="false" customHeight="true" outlineLevel="0" collapsed="false">
      <c r="A17" s="8" t="s">
        <v>440</v>
      </c>
      <c r="B17" s="8" t="s">
        <v>134</v>
      </c>
      <c r="C17" s="8" t="s">
        <v>426</v>
      </c>
      <c r="D17" s="8" t="s">
        <v>427</v>
      </c>
      <c r="E17" s="8" t="s">
        <v>428</v>
      </c>
      <c r="F17" s="8" t="s">
        <v>444</v>
      </c>
    </row>
    <row r="18" customFormat="false" ht="15" hidden="false" customHeight="true" outlineLevel="0" collapsed="false">
      <c r="A18" s="6" t="s">
        <v>445</v>
      </c>
      <c r="B18" s="6" t="s">
        <v>133</v>
      </c>
      <c r="C18" s="6" t="s">
        <v>426</v>
      </c>
      <c r="D18" s="6" t="s">
        <v>427</v>
      </c>
      <c r="E18" s="6" t="s">
        <v>428</v>
      </c>
      <c r="F18" s="6" t="s">
        <v>446</v>
      </c>
    </row>
    <row r="19" customFormat="false" ht="15" hidden="false" customHeight="true" outlineLevel="0" collapsed="false">
      <c r="A19" s="8" t="s">
        <v>445</v>
      </c>
      <c r="B19" s="8" t="s">
        <v>135</v>
      </c>
      <c r="C19" s="8" t="s">
        <v>426</v>
      </c>
      <c r="D19" s="8" t="s">
        <v>427</v>
      </c>
      <c r="E19" s="8" t="s">
        <v>428</v>
      </c>
      <c r="F19" s="8" t="s">
        <v>447</v>
      </c>
    </row>
    <row r="20" customFormat="false" ht="15" hidden="false" customHeight="true" outlineLevel="0" collapsed="false">
      <c r="A20" s="6" t="s">
        <v>445</v>
      </c>
      <c r="B20" s="6" t="s">
        <v>42</v>
      </c>
      <c r="C20" s="6" t="s">
        <v>426</v>
      </c>
      <c r="D20" s="6" t="s">
        <v>427</v>
      </c>
      <c r="E20" s="6" t="s">
        <v>428</v>
      </c>
      <c r="F20" s="6" t="s">
        <v>448</v>
      </c>
    </row>
    <row r="21" customFormat="false" ht="15" hidden="false" customHeight="true" outlineLevel="0" collapsed="false">
      <c r="A21" s="8" t="s">
        <v>445</v>
      </c>
      <c r="B21" s="8" t="s">
        <v>134</v>
      </c>
      <c r="C21" s="8" t="s">
        <v>426</v>
      </c>
      <c r="D21" s="8" t="s">
        <v>427</v>
      </c>
      <c r="E21" s="8" t="s">
        <v>428</v>
      </c>
      <c r="F21" s="8" t="s">
        <v>449</v>
      </c>
    </row>
    <row r="22" customFormat="false" ht="15" hidden="false" customHeight="true" outlineLevel="0" collapsed="false">
      <c r="A22" s="6" t="s">
        <v>450</v>
      </c>
      <c r="B22" s="6" t="s">
        <v>133</v>
      </c>
      <c r="C22" s="6" t="s">
        <v>437</v>
      </c>
      <c r="D22" s="6" t="s">
        <v>438</v>
      </c>
      <c r="E22" s="6"/>
      <c r="F22" s="6" t="s">
        <v>451</v>
      </c>
    </row>
    <row r="23" customFormat="false" ht="15" hidden="false" customHeight="true" outlineLevel="0" collapsed="false">
      <c r="A23" s="8" t="s">
        <v>452</v>
      </c>
      <c r="B23" s="8" t="s">
        <v>133</v>
      </c>
      <c r="C23" s="8" t="s">
        <v>437</v>
      </c>
      <c r="D23" s="8" t="s">
        <v>428</v>
      </c>
      <c r="E23" s="8" t="s">
        <v>428</v>
      </c>
      <c r="F23" s="8" t="s">
        <v>441</v>
      </c>
    </row>
    <row r="24" customFormat="false" ht="15" hidden="false" customHeight="true" outlineLevel="0" collapsed="false">
      <c r="A24" s="6" t="s">
        <v>452</v>
      </c>
      <c r="B24" s="6" t="s">
        <v>135</v>
      </c>
      <c r="C24" s="6" t="s">
        <v>426</v>
      </c>
      <c r="D24" s="6" t="s">
        <v>427</v>
      </c>
      <c r="E24" s="6" t="s">
        <v>428</v>
      </c>
      <c r="F24" s="6" t="s">
        <v>453</v>
      </c>
    </row>
    <row r="25" customFormat="false" ht="15" hidden="false" customHeight="true" outlineLevel="0" collapsed="false">
      <c r="A25" s="8" t="s">
        <v>452</v>
      </c>
      <c r="B25" s="8" t="s">
        <v>42</v>
      </c>
      <c r="C25" s="8" t="s">
        <v>426</v>
      </c>
      <c r="D25" s="8" t="s">
        <v>427</v>
      </c>
      <c r="E25" s="8" t="s">
        <v>428</v>
      </c>
      <c r="F25" s="8" t="s">
        <v>454</v>
      </c>
    </row>
    <row r="26" customFormat="false" ht="15" hidden="false" customHeight="true" outlineLevel="0" collapsed="false">
      <c r="A26" s="6" t="s">
        <v>452</v>
      </c>
      <c r="B26" s="6" t="s">
        <v>134</v>
      </c>
      <c r="C26" s="6" t="s">
        <v>426</v>
      </c>
      <c r="D26" s="6" t="s">
        <v>427</v>
      </c>
      <c r="E26" s="6" t="s">
        <v>428</v>
      </c>
      <c r="F26" s="6" t="s">
        <v>455</v>
      </c>
    </row>
    <row r="27" customFormat="false" ht="15" hidden="false" customHeight="true" outlineLevel="0" collapsed="false">
      <c r="A27" s="8" t="s">
        <v>456</v>
      </c>
      <c r="B27" s="8" t="s">
        <v>133</v>
      </c>
      <c r="C27" s="8" t="s">
        <v>437</v>
      </c>
      <c r="D27" s="8" t="s">
        <v>438</v>
      </c>
      <c r="E27" s="8"/>
      <c r="F27" s="8" t="s">
        <v>457</v>
      </c>
    </row>
    <row r="28" customFormat="false" ht="15" hidden="false" customHeight="true" outlineLevel="0" collapsed="false">
      <c r="A28" s="6" t="s">
        <v>458</v>
      </c>
      <c r="B28" s="6" t="s">
        <v>133</v>
      </c>
      <c r="C28" s="6" t="s">
        <v>437</v>
      </c>
      <c r="D28" s="6" t="s">
        <v>428</v>
      </c>
      <c r="E28" s="6" t="s">
        <v>428</v>
      </c>
      <c r="F28" s="6" t="s">
        <v>441</v>
      </c>
    </row>
    <row r="29" customFormat="false" ht="15" hidden="false" customHeight="true" outlineLevel="0" collapsed="false">
      <c r="A29" s="8" t="s">
        <v>458</v>
      </c>
      <c r="B29" s="8" t="s">
        <v>135</v>
      </c>
      <c r="C29" s="8" t="s">
        <v>426</v>
      </c>
      <c r="D29" s="8" t="s">
        <v>427</v>
      </c>
      <c r="E29" s="8" t="s">
        <v>428</v>
      </c>
      <c r="F29" s="8" t="s">
        <v>459</v>
      </c>
    </row>
    <row r="30" customFormat="false" ht="15" hidden="false" customHeight="true" outlineLevel="0" collapsed="false">
      <c r="A30" s="6" t="s">
        <v>458</v>
      </c>
      <c r="B30" s="6" t="s">
        <v>42</v>
      </c>
      <c r="C30" s="6" t="s">
        <v>426</v>
      </c>
      <c r="D30" s="6" t="s">
        <v>427</v>
      </c>
      <c r="E30" s="6" t="s">
        <v>428</v>
      </c>
      <c r="F30" s="6" t="s">
        <v>460</v>
      </c>
    </row>
    <row r="31" customFormat="false" ht="15" hidden="false" customHeight="true" outlineLevel="0" collapsed="false">
      <c r="A31" s="8" t="s">
        <v>458</v>
      </c>
      <c r="B31" s="8" t="s">
        <v>134</v>
      </c>
      <c r="C31" s="8" t="s">
        <v>426</v>
      </c>
      <c r="D31" s="8" t="s">
        <v>427</v>
      </c>
      <c r="E31" s="8" t="s">
        <v>428</v>
      </c>
      <c r="F31" s="8" t="s">
        <v>461</v>
      </c>
    </row>
    <row r="32" customFormat="false" ht="15" hidden="false" customHeight="true" outlineLevel="0" collapsed="false">
      <c r="A32" s="6" t="s">
        <v>462</v>
      </c>
      <c r="B32" s="6" t="s">
        <v>133</v>
      </c>
      <c r="C32" s="6" t="s">
        <v>437</v>
      </c>
      <c r="D32" s="6" t="s">
        <v>438</v>
      </c>
      <c r="E32" s="6"/>
      <c r="F32" s="6" t="s">
        <v>463</v>
      </c>
    </row>
    <row r="33" customFormat="false" ht="15" hidden="false" customHeight="true" outlineLevel="0" collapsed="false">
      <c r="A33" s="8" t="s">
        <v>464</v>
      </c>
      <c r="B33" s="8" t="s">
        <v>133</v>
      </c>
      <c r="C33" s="8" t="s">
        <v>437</v>
      </c>
      <c r="D33" s="8" t="s">
        <v>428</v>
      </c>
      <c r="E33" s="8" t="s">
        <v>428</v>
      </c>
      <c r="F33" s="8" t="s">
        <v>441</v>
      </c>
    </row>
    <row r="34" customFormat="false" ht="15" hidden="false" customHeight="true" outlineLevel="0" collapsed="false">
      <c r="A34" s="6" t="s">
        <v>464</v>
      </c>
      <c r="B34" s="6" t="s">
        <v>135</v>
      </c>
      <c r="C34" s="6" t="s">
        <v>426</v>
      </c>
      <c r="D34" s="6" t="s">
        <v>427</v>
      </c>
      <c r="E34" s="6" t="s">
        <v>428</v>
      </c>
      <c r="F34" s="6" t="s">
        <v>465</v>
      </c>
    </row>
    <row r="35" customFormat="false" ht="15" hidden="false" customHeight="true" outlineLevel="0" collapsed="false">
      <c r="A35" s="8" t="s">
        <v>464</v>
      </c>
      <c r="B35" s="8" t="s">
        <v>42</v>
      </c>
      <c r="C35" s="8" t="s">
        <v>426</v>
      </c>
      <c r="D35" s="8" t="s">
        <v>427</v>
      </c>
      <c r="E35" s="8" t="s">
        <v>428</v>
      </c>
      <c r="F35" s="8" t="s">
        <v>466</v>
      </c>
    </row>
    <row r="36" customFormat="false" ht="15" hidden="false" customHeight="true" outlineLevel="0" collapsed="false">
      <c r="A36" s="6" t="s">
        <v>464</v>
      </c>
      <c r="B36" s="6" t="s">
        <v>134</v>
      </c>
      <c r="C36" s="6" t="s">
        <v>426</v>
      </c>
      <c r="D36" s="6" t="s">
        <v>427</v>
      </c>
      <c r="E36" s="6" t="s">
        <v>428</v>
      </c>
      <c r="F36" s="6" t="s">
        <v>467</v>
      </c>
    </row>
    <row r="37" customFormat="false" ht="15" hidden="false" customHeight="true" outlineLevel="0" collapsed="false">
      <c r="A37" s="8" t="s">
        <v>468</v>
      </c>
      <c r="B37" s="8" t="s">
        <v>133</v>
      </c>
      <c r="C37" s="8" t="s">
        <v>437</v>
      </c>
      <c r="D37" s="8" t="s">
        <v>438</v>
      </c>
      <c r="E37" s="8"/>
      <c r="F37" s="8" t="s">
        <v>439</v>
      </c>
    </row>
    <row r="38" customFormat="false" ht="15" hidden="false" customHeight="true" outlineLevel="0" collapsed="false">
      <c r="A38" s="6" t="s">
        <v>469</v>
      </c>
      <c r="B38" s="6" t="s">
        <v>133</v>
      </c>
      <c r="C38" s="6" t="s">
        <v>437</v>
      </c>
      <c r="D38" s="6" t="s">
        <v>428</v>
      </c>
      <c r="E38" s="6" t="s">
        <v>428</v>
      </c>
      <c r="F38" s="6" t="s">
        <v>470</v>
      </c>
    </row>
    <row r="39" customFormat="false" ht="15" hidden="false" customHeight="true" outlineLevel="0" collapsed="false">
      <c r="A39" s="8" t="s">
        <v>469</v>
      </c>
      <c r="B39" s="8" t="s">
        <v>135</v>
      </c>
      <c r="C39" s="8" t="s">
        <v>426</v>
      </c>
      <c r="D39" s="8" t="s">
        <v>427</v>
      </c>
      <c r="E39" s="8" t="s">
        <v>428</v>
      </c>
      <c r="F39" s="8" t="s">
        <v>471</v>
      </c>
    </row>
    <row r="40" customFormat="false" ht="15" hidden="false" customHeight="true" outlineLevel="0" collapsed="false">
      <c r="A40" s="6" t="s">
        <v>469</v>
      </c>
      <c r="B40" s="6" t="s">
        <v>42</v>
      </c>
      <c r="C40" s="6" t="s">
        <v>426</v>
      </c>
      <c r="D40" s="6" t="s">
        <v>427</v>
      </c>
      <c r="E40" s="6" t="s">
        <v>428</v>
      </c>
      <c r="F40" s="6" t="s">
        <v>472</v>
      </c>
    </row>
    <row r="41" customFormat="false" ht="15" hidden="false" customHeight="true" outlineLevel="0" collapsed="false">
      <c r="A41" s="8" t="s">
        <v>469</v>
      </c>
      <c r="B41" s="8" t="s">
        <v>134</v>
      </c>
      <c r="C41" s="8" t="s">
        <v>426</v>
      </c>
      <c r="D41" s="8" t="s">
        <v>427</v>
      </c>
      <c r="E41" s="8" t="s">
        <v>428</v>
      </c>
      <c r="F41" s="8" t="s">
        <v>473</v>
      </c>
    </row>
    <row r="42" customFormat="false" ht="15" hidden="false" customHeight="true" outlineLevel="0" collapsed="false">
      <c r="A42" s="6" t="s">
        <v>474</v>
      </c>
      <c r="B42" s="6" t="s">
        <v>133</v>
      </c>
      <c r="C42" s="6" t="s">
        <v>437</v>
      </c>
      <c r="D42" s="6" t="s">
        <v>438</v>
      </c>
      <c r="E42" s="6"/>
      <c r="F42" s="6" t="s">
        <v>475</v>
      </c>
    </row>
    <row r="43" customFormat="false" ht="15" hidden="false" customHeight="true" outlineLevel="0" collapsed="false">
      <c r="A43" s="8" t="s">
        <v>476</v>
      </c>
      <c r="B43" s="8" t="s">
        <v>133</v>
      </c>
      <c r="C43" s="8" t="s">
        <v>437</v>
      </c>
      <c r="D43" s="8" t="s">
        <v>428</v>
      </c>
      <c r="E43" s="8" t="s">
        <v>428</v>
      </c>
      <c r="F43" s="8" t="s">
        <v>441</v>
      </c>
    </row>
    <row r="44" customFormat="false" ht="15" hidden="false" customHeight="true" outlineLevel="0" collapsed="false">
      <c r="A44" s="6" t="s">
        <v>477</v>
      </c>
      <c r="B44" s="6" t="s">
        <v>134</v>
      </c>
      <c r="C44" s="6" t="s">
        <v>418</v>
      </c>
      <c r="D44" s="6" t="s">
        <v>419</v>
      </c>
      <c r="E44" s="6" t="s">
        <v>420</v>
      </c>
      <c r="F44" s="6" t="s">
        <v>478</v>
      </c>
    </row>
    <row r="45" customFormat="false" ht="15" hidden="false" customHeight="true" outlineLevel="0" collapsed="false">
      <c r="A45" s="8" t="s">
        <v>477</v>
      </c>
      <c r="B45" s="8" t="s">
        <v>134</v>
      </c>
      <c r="C45" s="8" t="s">
        <v>414</v>
      </c>
      <c r="D45" s="8" t="s">
        <v>422</v>
      </c>
      <c r="E45" s="8" t="s">
        <v>414</v>
      </c>
      <c r="F45" s="8" t="s">
        <v>479</v>
      </c>
    </row>
    <row r="46" customFormat="false" ht="15" hidden="false" customHeight="true" outlineLevel="0" collapsed="false">
      <c r="A46" s="6" t="s">
        <v>477</v>
      </c>
      <c r="B46" s="6" t="s">
        <v>134</v>
      </c>
      <c r="C46" s="6" t="s">
        <v>414</v>
      </c>
      <c r="D46" s="6" t="s">
        <v>419</v>
      </c>
      <c r="E46" s="6" t="s">
        <v>420</v>
      </c>
      <c r="F46" s="6" t="s">
        <v>480</v>
      </c>
    </row>
    <row r="47" customFormat="false" ht="15" hidden="false" customHeight="true" outlineLevel="0" collapsed="false">
      <c r="A47" s="8" t="s">
        <v>481</v>
      </c>
      <c r="B47" s="8" t="s">
        <v>42</v>
      </c>
      <c r="C47" s="8" t="s">
        <v>437</v>
      </c>
      <c r="D47" s="8" t="s">
        <v>438</v>
      </c>
      <c r="E47" s="8"/>
      <c r="F47" s="8" t="s">
        <v>482</v>
      </c>
    </row>
    <row r="48" customFormat="false" ht="15" hidden="false" customHeight="true" outlineLevel="0" collapsed="false">
      <c r="A48" s="6" t="s">
        <v>483</v>
      </c>
      <c r="B48" s="6" t="s">
        <v>42</v>
      </c>
      <c r="C48" s="6" t="s">
        <v>437</v>
      </c>
      <c r="D48" s="6" t="s">
        <v>428</v>
      </c>
      <c r="E48" s="6" t="s">
        <v>428</v>
      </c>
      <c r="F48" s="6" t="s">
        <v>484</v>
      </c>
    </row>
    <row r="49" customFormat="false" ht="15" hidden="false" customHeight="true" outlineLevel="0" collapsed="false">
      <c r="A49" s="8" t="s">
        <v>483</v>
      </c>
      <c r="B49" s="8" t="s">
        <v>42</v>
      </c>
      <c r="C49" s="8" t="s">
        <v>437</v>
      </c>
      <c r="D49" s="8" t="s">
        <v>438</v>
      </c>
      <c r="E49" s="8"/>
      <c r="F49" s="8" t="s">
        <v>485</v>
      </c>
    </row>
    <row r="50" customFormat="false" ht="15" hidden="false" customHeight="true" outlineLevel="0" collapsed="false">
      <c r="A50" s="6" t="s">
        <v>486</v>
      </c>
      <c r="B50" s="6" t="s">
        <v>42</v>
      </c>
      <c r="C50" s="6" t="s">
        <v>437</v>
      </c>
      <c r="D50" s="6" t="s">
        <v>428</v>
      </c>
      <c r="E50" s="6" t="s">
        <v>428</v>
      </c>
      <c r="F50" s="6" t="s">
        <v>487</v>
      </c>
    </row>
    <row r="51" customFormat="false" ht="15" hidden="false" customHeight="true" outlineLevel="0" collapsed="false">
      <c r="A51" s="8" t="s">
        <v>488</v>
      </c>
      <c r="B51" s="8" t="s">
        <v>134</v>
      </c>
      <c r="C51" s="8" t="s">
        <v>437</v>
      </c>
      <c r="D51" s="8" t="s">
        <v>438</v>
      </c>
      <c r="E51" s="8"/>
      <c r="F51" s="8" t="s">
        <v>489</v>
      </c>
    </row>
    <row r="52" customFormat="false" ht="15" hidden="false" customHeight="true" outlineLevel="0" collapsed="false">
      <c r="A52" s="6" t="s">
        <v>490</v>
      </c>
      <c r="B52" s="6" t="s">
        <v>134</v>
      </c>
      <c r="C52" s="6" t="s">
        <v>437</v>
      </c>
      <c r="D52" s="6" t="s">
        <v>428</v>
      </c>
      <c r="E52" s="6" t="s">
        <v>428</v>
      </c>
      <c r="F52" s="6" t="s">
        <v>491</v>
      </c>
    </row>
    <row r="53" customFormat="false" ht="15" hidden="false" customHeight="true" outlineLevel="0" collapsed="false">
      <c r="A53" s="8" t="s">
        <v>492</v>
      </c>
      <c r="B53" s="8" t="s">
        <v>134</v>
      </c>
      <c r="C53" s="8" t="s">
        <v>437</v>
      </c>
      <c r="D53" s="8" t="s">
        <v>438</v>
      </c>
      <c r="E53" s="8"/>
      <c r="F53" s="8" t="s">
        <v>493</v>
      </c>
    </row>
    <row r="54" customFormat="false" ht="15" hidden="false" customHeight="true" outlineLevel="0" collapsed="false">
      <c r="A54" s="6" t="s">
        <v>494</v>
      </c>
      <c r="B54" s="6" t="s">
        <v>134</v>
      </c>
      <c r="C54" s="6" t="s">
        <v>437</v>
      </c>
      <c r="D54" s="6" t="s">
        <v>428</v>
      </c>
      <c r="E54" s="6" t="s">
        <v>428</v>
      </c>
      <c r="F54" s="6" t="s">
        <v>495</v>
      </c>
    </row>
    <row r="55" customFormat="false" ht="15" hidden="false" customHeight="true" outlineLevel="0" collapsed="false">
      <c r="A55" s="8" t="s">
        <v>496</v>
      </c>
      <c r="B55" s="8" t="s">
        <v>134</v>
      </c>
      <c r="C55" s="8" t="s">
        <v>418</v>
      </c>
      <c r="D55" s="8" t="s">
        <v>419</v>
      </c>
      <c r="E55" s="8" t="s">
        <v>420</v>
      </c>
      <c r="F55" s="8" t="s">
        <v>497</v>
      </c>
    </row>
    <row r="56" customFormat="false" ht="15" hidden="false" customHeight="true" outlineLevel="0" collapsed="false">
      <c r="A56" s="6" t="s">
        <v>496</v>
      </c>
      <c r="B56" s="6" t="s">
        <v>134</v>
      </c>
      <c r="C56" s="6" t="s">
        <v>414</v>
      </c>
      <c r="D56" s="6" t="s">
        <v>422</v>
      </c>
      <c r="E56" s="6" t="s">
        <v>414</v>
      </c>
      <c r="F56" s="6" t="s">
        <v>498</v>
      </c>
    </row>
    <row r="57" customFormat="false" ht="15" hidden="false" customHeight="true" outlineLevel="0" collapsed="false">
      <c r="A57" s="8" t="s">
        <v>496</v>
      </c>
      <c r="B57" s="8" t="s">
        <v>134</v>
      </c>
      <c r="C57" s="8" t="s">
        <v>414</v>
      </c>
      <c r="D57" s="8" t="s">
        <v>419</v>
      </c>
      <c r="E57" s="8" t="s">
        <v>420</v>
      </c>
      <c r="F57" s="8" t="s">
        <v>499</v>
      </c>
    </row>
    <row r="58" customFormat="false" ht="15" hidden="false" customHeight="true" outlineLevel="0" collapsed="false">
      <c r="A58" s="6" t="s">
        <v>500</v>
      </c>
      <c r="B58" s="6" t="s">
        <v>134</v>
      </c>
      <c r="C58" s="6" t="s">
        <v>437</v>
      </c>
      <c r="D58" s="6" t="s">
        <v>438</v>
      </c>
      <c r="E58" s="6"/>
      <c r="F58" s="6" t="s">
        <v>501</v>
      </c>
    </row>
    <row r="59" customFormat="false" ht="15" hidden="false" customHeight="true" outlineLevel="0" collapsed="false">
      <c r="A59" s="8" t="s">
        <v>502</v>
      </c>
      <c r="B59" s="8" t="s">
        <v>134</v>
      </c>
      <c r="C59" s="8" t="s">
        <v>437</v>
      </c>
      <c r="D59" s="8" t="s">
        <v>428</v>
      </c>
      <c r="E59" s="8" t="s">
        <v>428</v>
      </c>
      <c r="F59" s="8" t="s">
        <v>503</v>
      </c>
    </row>
    <row r="60" customFormat="false" ht="15" hidden="false" customHeight="true" outlineLevel="0" collapsed="false">
      <c r="A60" s="6" t="s">
        <v>502</v>
      </c>
      <c r="B60" s="6" t="s">
        <v>134</v>
      </c>
      <c r="C60" s="6" t="s">
        <v>437</v>
      </c>
      <c r="D60" s="6" t="s">
        <v>438</v>
      </c>
      <c r="E60" s="6"/>
      <c r="F60" s="6" t="s">
        <v>504</v>
      </c>
    </row>
    <row r="61" customFormat="false" ht="15" hidden="false" customHeight="true" outlineLevel="0" collapsed="false">
      <c r="A61" s="8" t="s">
        <v>505</v>
      </c>
      <c r="B61" s="8" t="s">
        <v>134</v>
      </c>
      <c r="C61" s="8" t="s">
        <v>437</v>
      </c>
      <c r="D61" s="8" t="s">
        <v>438</v>
      </c>
      <c r="E61" s="8"/>
      <c r="F61" s="8" t="s">
        <v>506</v>
      </c>
    </row>
    <row r="62" customFormat="false" ht="15" hidden="false" customHeight="true" outlineLevel="0" collapsed="false">
      <c r="A62" s="6" t="s">
        <v>507</v>
      </c>
      <c r="B62" s="6" t="s">
        <v>134</v>
      </c>
      <c r="C62" s="6" t="s">
        <v>437</v>
      </c>
      <c r="D62" s="6" t="s">
        <v>428</v>
      </c>
      <c r="E62" s="6" t="s">
        <v>428</v>
      </c>
      <c r="F62" s="6" t="s">
        <v>508</v>
      </c>
    </row>
    <row r="63" customFormat="false" ht="15" hidden="false" customHeight="true" outlineLevel="0" collapsed="false">
      <c r="A63" s="8" t="s">
        <v>507</v>
      </c>
      <c r="B63" s="8" t="s">
        <v>134</v>
      </c>
      <c r="C63" s="8" t="s">
        <v>437</v>
      </c>
      <c r="D63" s="8" t="s">
        <v>438</v>
      </c>
      <c r="E63" s="8"/>
      <c r="F63" s="8" t="s">
        <v>509</v>
      </c>
    </row>
    <row r="64" customFormat="false" ht="15" hidden="false" customHeight="true" outlineLevel="0" collapsed="false">
      <c r="A64" s="6" t="s">
        <v>510</v>
      </c>
      <c r="B64" s="6" t="s">
        <v>134</v>
      </c>
      <c r="C64" s="6" t="s">
        <v>437</v>
      </c>
      <c r="D64" s="6" t="s">
        <v>428</v>
      </c>
      <c r="E64" s="6" t="s">
        <v>428</v>
      </c>
      <c r="F64" s="6" t="s">
        <v>511</v>
      </c>
    </row>
    <row r="65" customFormat="false" ht="15" hidden="false" customHeight="true" outlineLevel="0" collapsed="false">
      <c r="A65" s="8" t="s">
        <v>512</v>
      </c>
      <c r="B65" s="8" t="s">
        <v>134</v>
      </c>
      <c r="C65" s="8" t="s">
        <v>437</v>
      </c>
      <c r="D65" s="8" t="s">
        <v>438</v>
      </c>
      <c r="E65" s="8"/>
      <c r="F65" s="8" t="s">
        <v>513</v>
      </c>
    </row>
    <row r="66" customFormat="false" ht="15" hidden="false" customHeight="true" outlineLevel="0" collapsed="false">
      <c r="A66" s="6" t="s">
        <v>514</v>
      </c>
      <c r="B66" s="6" t="s">
        <v>134</v>
      </c>
      <c r="C66" s="6" t="s">
        <v>437</v>
      </c>
      <c r="D66" s="6" t="s">
        <v>428</v>
      </c>
      <c r="E66" s="6" t="s">
        <v>428</v>
      </c>
      <c r="F66" s="6" t="s">
        <v>515</v>
      </c>
    </row>
    <row r="67" customFormat="false" ht="15" hidden="false" customHeight="true" outlineLevel="0" collapsed="false">
      <c r="A67" s="8" t="s">
        <v>514</v>
      </c>
      <c r="B67" s="8" t="s">
        <v>134</v>
      </c>
      <c r="C67" s="8" t="s">
        <v>437</v>
      </c>
      <c r="D67" s="8" t="s">
        <v>438</v>
      </c>
      <c r="E67" s="8"/>
      <c r="F67" s="8" t="s">
        <v>516</v>
      </c>
    </row>
    <row r="68" customFormat="false" ht="15" hidden="false" customHeight="true" outlineLevel="0" collapsed="false">
      <c r="A68" s="6" t="s">
        <v>517</v>
      </c>
      <c r="B68" s="6" t="s">
        <v>134</v>
      </c>
      <c r="C68" s="6" t="s">
        <v>437</v>
      </c>
      <c r="D68" s="6" t="s">
        <v>428</v>
      </c>
      <c r="E68" s="6" t="s">
        <v>428</v>
      </c>
      <c r="F68" s="6" t="s">
        <v>511</v>
      </c>
    </row>
    <row r="69" customFormat="false" ht="15" hidden="false" customHeight="true" outlineLevel="0" collapsed="false">
      <c r="A69" s="8" t="s">
        <v>518</v>
      </c>
      <c r="B69" s="8" t="s">
        <v>134</v>
      </c>
      <c r="C69" s="8" t="s">
        <v>437</v>
      </c>
      <c r="D69" s="8" t="s">
        <v>438</v>
      </c>
      <c r="E69" s="8"/>
      <c r="F69" s="8" t="s">
        <v>519</v>
      </c>
    </row>
    <row r="70" customFormat="false" ht="15" hidden="false" customHeight="true" outlineLevel="0" collapsed="false">
      <c r="A70" s="6" t="s">
        <v>520</v>
      </c>
      <c r="B70" s="6" t="s">
        <v>134</v>
      </c>
      <c r="C70" s="6" t="s">
        <v>437</v>
      </c>
      <c r="D70" s="6" t="s">
        <v>428</v>
      </c>
      <c r="E70" s="6" t="s">
        <v>428</v>
      </c>
      <c r="F70" s="6" t="s">
        <v>508</v>
      </c>
    </row>
    <row r="71" customFormat="false" ht="15" hidden="false" customHeight="true" outlineLevel="0" collapsed="false">
      <c r="A71" s="8" t="s">
        <v>520</v>
      </c>
      <c r="B71" s="8" t="s">
        <v>134</v>
      </c>
      <c r="C71" s="8" t="s">
        <v>437</v>
      </c>
      <c r="D71" s="8" t="s">
        <v>438</v>
      </c>
      <c r="E71" s="8"/>
      <c r="F71" s="8" t="s">
        <v>521</v>
      </c>
    </row>
    <row r="72" customFormat="false" ht="15" hidden="false" customHeight="true" outlineLevel="0" collapsed="false">
      <c r="A72" s="6" t="s">
        <v>522</v>
      </c>
      <c r="B72" s="6" t="s">
        <v>134</v>
      </c>
      <c r="C72" s="6" t="s">
        <v>437</v>
      </c>
      <c r="D72" s="6" t="s">
        <v>428</v>
      </c>
      <c r="E72" s="6" t="s">
        <v>428</v>
      </c>
      <c r="F72" s="6" t="s">
        <v>523</v>
      </c>
    </row>
    <row r="73" customFormat="false" ht="15" hidden="false" customHeight="true" outlineLevel="0" collapsed="false">
      <c r="A73" s="8" t="s">
        <v>524</v>
      </c>
      <c r="B73" s="8" t="s">
        <v>134</v>
      </c>
      <c r="C73" s="8" t="s">
        <v>437</v>
      </c>
      <c r="D73" s="8" t="s">
        <v>438</v>
      </c>
      <c r="E73" s="8"/>
      <c r="F73" s="8" t="s">
        <v>525</v>
      </c>
    </row>
    <row r="74" customFormat="false" ht="15" hidden="false" customHeight="true" outlineLevel="0" collapsed="false">
      <c r="A74" s="6" t="s">
        <v>526</v>
      </c>
      <c r="B74" s="6" t="s">
        <v>134</v>
      </c>
      <c r="C74" s="6" t="s">
        <v>437</v>
      </c>
      <c r="D74" s="6" t="s">
        <v>428</v>
      </c>
      <c r="E74" s="6" t="s">
        <v>428</v>
      </c>
      <c r="F74" s="6" t="s">
        <v>527</v>
      </c>
    </row>
    <row r="75" customFormat="false" ht="15" hidden="false" customHeight="true" outlineLevel="0" collapsed="false">
      <c r="A75" s="8" t="s">
        <v>526</v>
      </c>
      <c r="B75" s="8" t="s">
        <v>134</v>
      </c>
      <c r="C75" s="8" t="s">
        <v>437</v>
      </c>
      <c r="D75" s="8" t="s">
        <v>438</v>
      </c>
      <c r="E75" s="8"/>
      <c r="F75" s="8" t="s">
        <v>528</v>
      </c>
    </row>
    <row r="76" customFormat="false" ht="15" hidden="false" customHeight="true" outlineLevel="0" collapsed="false">
      <c r="A76" s="6" t="s">
        <v>529</v>
      </c>
      <c r="B76" s="6" t="s">
        <v>134</v>
      </c>
      <c r="C76" s="6" t="s">
        <v>437</v>
      </c>
      <c r="D76" s="6" t="s">
        <v>428</v>
      </c>
      <c r="E76" s="6" t="s">
        <v>428</v>
      </c>
      <c r="F76" s="6" t="s">
        <v>511</v>
      </c>
    </row>
    <row r="77" customFormat="false" ht="15" hidden="false" customHeight="true" outlineLevel="0" collapsed="false">
      <c r="A77" s="8" t="s">
        <v>530</v>
      </c>
      <c r="B77" s="8" t="s">
        <v>134</v>
      </c>
      <c r="C77" s="8" t="s">
        <v>437</v>
      </c>
      <c r="D77" s="8" t="s">
        <v>438</v>
      </c>
      <c r="E77" s="8"/>
      <c r="F77" s="8" t="s">
        <v>531</v>
      </c>
    </row>
    <row r="78" customFormat="false" ht="15" hidden="false" customHeight="true" outlineLevel="0" collapsed="false">
      <c r="A78" s="6" t="s">
        <v>532</v>
      </c>
      <c r="B78" s="6" t="s">
        <v>134</v>
      </c>
      <c r="C78" s="6" t="s">
        <v>437</v>
      </c>
      <c r="D78" s="6" t="s">
        <v>428</v>
      </c>
      <c r="E78" s="6" t="s">
        <v>428</v>
      </c>
      <c r="F78" s="6" t="s">
        <v>508</v>
      </c>
    </row>
    <row r="79" customFormat="false" ht="15" hidden="false" customHeight="true" outlineLevel="0" collapsed="false">
      <c r="A79" s="8" t="s">
        <v>533</v>
      </c>
      <c r="B79" s="8" t="s">
        <v>134</v>
      </c>
      <c r="C79" s="8" t="s">
        <v>437</v>
      </c>
      <c r="D79" s="8" t="s">
        <v>438</v>
      </c>
      <c r="E79" s="8"/>
      <c r="F79" s="8" t="s">
        <v>534</v>
      </c>
    </row>
    <row r="80" customFormat="false" ht="15" hidden="false" customHeight="true" outlineLevel="0" collapsed="false">
      <c r="A80" s="6" t="s">
        <v>535</v>
      </c>
      <c r="B80" s="6" t="s">
        <v>134</v>
      </c>
      <c r="C80" s="6" t="s">
        <v>437</v>
      </c>
      <c r="D80" s="6" t="s">
        <v>428</v>
      </c>
      <c r="E80" s="6" t="s">
        <v>428</v>
      </c>
      <c r="F80" s="6" t="s">
        <v>508</v>
      </c>
    </row>
    <row r="81" customFormat="false" ht="15" hidden="false" customHeight="true" outlineLevel="0" collapsed="false">
      <c r="A81" s="8" t="s">
        <v>536</v>
      </c>
      <c r="B81" s="8" t="s">
        <v>134</v>
      </c>
      <c r="C81" s="8" t="s">
        <v>437</v>
      </c>
      <c r="D81" s="8" t="s">
        <v>438</v>
      </c>
      <c r="E81" s="8"/>
      <c r="F81" s="8" t="s">
        <v>537</v>
      </c>
    </row>
    <row r="82" customFormat="false" ht="15" hidden="false" customHeight="true" outlineLevel="0" collapsed="false">
      <c r="A82" s="6" t="s">
        <v>538</v>
      </c>
      <c r="B82" s="6" t="s">
        <v>134</v>
      </c>
      <c r="C82" s="6" t="s">
        <v>437</v>
      </c>
      <c r="D82" s="6" t="s">
        <v>428</v>
      </c>
      <c r="E82" s="6" t="s">
        <v>428</v>
      </c>
      <c r="F82" s="6" t="s">
        <v>515</v>
      </c>
    </row>
    <row r="83" customFormat="false" ht="15" hidden="false" customHeight="true" outlineLevel="0" collapsed="false">
      <c r="A83" s="8" t="s">
        <v>539</v>
      </c>
      <c r="B83" s="8" t="s">
        <v>134</v>
      </c>
      <c r="C83" s="8" t="s">
        <v>437</v>
      </c>
      <c r="D83" s="8" t="s">
        <v>438</v>
      </c>
      <c r="E83" s="8"/>
      <c r="F83" s="8" t="s">
        <v>540</v>
      </c>
    </row>
    <row r="84" customFormat="false" ht="15" hidden="false" customHeight="true" outlineLevel="0" collapsed="false">
      <c r="A84" s="6" t="s">
        <v>541</v>
      </c>
      <c r="B84" s="6" t="s">
        <v>134</v>
      </c>
      <c r="C84" s="6" t="s">
        <v>437</v>
      </c>
      <c r="D84" s="6" t="s">
        <v>428</v>
      </c>
      <c r="E84" s="6" t="s">
        <v>428</v>
      </c>
      <c r="F84" s="6" t="s">
        <v>508</v>
      </c>
    </row>
    <row r="85" customFormat="false" ht="15" hidden="false" customHeight="true" outlineLevel="0" collapsed="false">
      <c r="A85" s="8" t="s">
        <v>542</v>
      </c>
      <c r="B85" s="8" t="s">
        <v>134</v>
      </c>
      <c r="C85" s="8" t="s">
        <v>437</v>
      </c>
      <c r="D85" s="8" t="s">
        <v>438</v>
      </c>
      <c r="E85" s="8"/>
      <c r="F85" s="8" t="s">
        <v>543</v>
      </c>
    </row>
    <row r="86" customFormat="false" ht="15" hidden="false" customHeight="true" outlineLevel="0" collapsed="false">
      <c r="A86" s="6" t="s">
        <v>544</v>
      </c>
      <c r="B86" s="6" t="s">
        <v>134</v>
      </c>
      <c r="C86" s="6" t="s">
        <v>437</v>
      </c>
      <c r="D86" s="6" t="s">
        <v>428</v>
      </c>
      <c r="E86" s="6" t="s">
        <v>428</v>
      </c>
      <c r="F86" s="6" t="s">
        <v>508</v>
      </c>
    </row>
    <row r="87" customFormat="false" ht="15" hidden="false" customHeight="true" outlineLevel="0" collapsed="false">
      <c r="A87" s="8" t="s">
        <v>545</v>
      </c>
      <c r="B87" s="8" t="s">
        <v>134</v>
      </c>
      <c r="C87" s="8" t="s">
        <v>437</v>
      </c>
      <c r="D87" s="8" t="s">
        <v>438</v>
      </c>
      <c r="E87" s="8"/>
      <c r="F87" s="8" t="s">
        <v>546</v>
      </c>
    </row>
    <row r="88" customFormat="false" ht="15" hidden="false" customHeight="true" outlineLevel="0" collapsed="false">
      <c r="A88" s="6" t="s">
        <v>547</v>
      </c>
      <c r="B88" s="6" t="s">
        <v>134</v>
      </c>
      <c r="C88" s="6" t="s">
        <v>437</v>
      </c>
      <c r="D88" s="6" t="s">
        <v>428</v>
      </c>
      <c r="E88" s="6" t="s">
        <v>428</v>
      </c>
      <c r="F88" s="6" t="s">
        <v>508</v>
      </c>
    </row>
    <row r="89" customFormat="false" ht="15" hidden="false" customHeight="true" outlineLevel="0" collapsed="false">
      <c r="A89" s="8" t="s">
        <v>548</v>
      </c>
      <c r="B89" s="8" t="s">
        <v>134</v>
      </c>
      <c r="C89" s="8" t="s">
        <v>437</v>
      </c>
      <c r="D89" s="8" t="s">
        <v>438</v>
      </c>
      <c r="E89" s="8"/>
      <c r="F89" s="8" t="s">
        <v>549</v>
      </c>
    </row>
    <row r="90" customFormat="false" ht="15" hidden="false" customHeight="true" outlineLevel="0" collapsed="false">
      <c r="A90" s="6" t="s">
        <v>550</v>
      </c>
      <c r="B90" s="6" t="s">
        <v>134</v>
      </c>
      <c r="C90" s="6" t="s">
        <v>437</v>
      </c>
      <c r="D90" s="6" t="s">
        <v>428</v>
      </c>
      <c r="E90" s="6" t="s">
        <v>428</v>
      </c>
      <c r="F90" s="6" t="s">
        <v>508</v>
      </c>
    </row>
    <row r="91" customFormat="false" ht="15" hidden="false" customHeight="true" outlineLevel="0" collapsed="false">
      <c r="A91" s="8" t="s">
        <v>551</v>
      </c>
      <c r="B91" s="8" t="s">
        <v>134</v>
      </c>
      <c r="C91" s="8" t="s">
        <v>437</v>
      </c>
      <c r="D91" s="8" t="s">
        <v>438</v>
      </c>
      <c r="E91" s="8"/>
      <c r="F91" s="8" t="s">
        <v>552</v>
      </c>
    </row>
    <row r="92" customFormat="false" ht="15" hidden="false" customHeight="true" outlineLevel="0" collapsed="false">
      <c r="A92" s="6" t="s">
        <v>553</v>
      </c>
      <c r="B92" s="6" t="s">
        <v>134</v>
      </c>
      <c r="C92" s="6" t="s">
        <v>437</v>
      </c>
      <c r="D92" s="6" t="s">
        <v>428</v>
      </c>
      <c r="E92" s="6" t="s">
        <v>428</v>
      </c>
      <c r="F92" s="6" t="s">
        <v>508</v>
      </c>
    </row>
    <row r="93" customFormat="false" ht="15" hidden="false" customHeight="true" outlineLevel="0" collapsed="false">
      <c r="A93" s="8" t="s">
        <v>554</v>
      </c>
      <c r="B93" s="8" t="s">
        <v>134</v>
      </c>
      <c r="C93" s="8" t="s">
        <v>437</v>
      </c>
      <c r="D93" s="8" t="s">
        <v>438</v>
      </c>
      <c r="E93" s="8"/>
      <c r="F93" s="8" t="s">
        <v>555</v>
      </c>
    </row>
    <row r="94" customFormat="false" ht="15" hidden="false" customHeight="true" outlineLevel="0" collapsed="false">
      <c r="A94" s="6" t="s">
        <v>556</v>
      </c>
      <c r="B94" s="6" t="s">
        <v>134</v>
      </c>
      <c r="C94" s="6" t="s">
        <v>437</v>
      </c>
      <c r="D94" s="6" t="s">
        <v>428</v>
      </c>
      <c r="E94" s="6" t="s">
        <v>428</v>
      </c>
      <c r="F94" s="6" t="s">
        <v>557</v>
      </c>
    </row>
    <row r="95" customFormat="false" ht="15" hidden="false" customHeight="true" outlineLevel="0" collapsed="false">
      <c r="A95" s="8" t="s">
        <v>558</v>
      </c>
      <c r="B95" s="8" t="s">
        <v>134</v>
      </c>
      <c r="C95" s="8" t="s">
        <v>437</v>
      </c>
      <c r="D95" s="8" t="s">
        <v>438</v>
      </c>
      <c r="E95" s="8"/>
      <c r="F95" s="8" t="s">
        <v>559</v>
      </c>
    </row>
    <row r="96" customFormat="false" ht="15" hidden="false" customHeight="true" outlineLevel="0" collapsed="false">
      <c r="A96" s="6" t="s">
        <v>560</v>
      </c>
      <c r="B96" s="6" t="s">
        <v>134</v>
      </c>
      <c r="C96" s="6" t="s">
        <v>437</v>
      </c>
      <c r="D96" s="6" t="s">
        <v>428</v>
      </c>
      <c r="E96" s="6" t="s">
        <v>428</v>
      </c>
      <c r="F96" s="6" t="s">
        <v>508</v>
      </c>
    </row>
    <row r="97" customFormat="false" ht="15" hidden="false" customHeight="true" outlineLevel="0" collapsed="false">
      <c r="A97" s="8" t="s">
        <v>561</v>
      </c>
      <c r="B97" s="8" t="s">
        <v>134</v>
      </c>
      <c r="C97" s="8" t="s">
        <v>437</v>
      </c>
      <c r="D97" s="8" t="s">
        <v>438</v>
      </c>
      <c r="E97" s="8"/>
      <c r="F97" s="8" t="s">
        <v>562</v>
      </c>
    </row>
    <row r="98" customFormat="false" ht="15" hidden="false" customHeight="true" outlineLevel="0" collapsed="false">
      <c r="A98" s="6" t="s">
        <v>563</v>
      </c>
      <c r="B98" s="6" t="s">
        <v>134</v>
      </c>
      <c r="C98" s="6" t="s">
        <v>437</v>
      </c>
      <c r="D98" s="6" t="s">
        <v>428</v>
      </c>
      <c r="E98" s="6" t="s">
        <v>428</v>
      </c>
      <c r="F98" s="6" t="s">
        <v>508</v>
      </c>
    </row>
    <row r="99" customFormat="false" ht="15" hidden="false" customHeight="true" outlineLevel="0" collapsed="false">
      <c r="A99" s="8" t="s">
        <v>564</v>
      </c>
      <c r="B99" s="8" t="s">
        <v>134</v>
      </c>
      <c r="C99" s="8" t="s">
        <v>437</v>
      </c>
      <c r="D99" s="8" t="s">
        <v>438</v>
      </c>
      <c r="E99" s="8"/>
      <c r="F99" s="8" t="s">
        <v>565</v>
      </c>
    </row>
    <row r="100" customFormat="false" ht="15" hidden="false" customHeight="true" outlineLevel="0" collapsed="false">
      <c r="A100" s="6" t="s">
        <v>566</v>
      </c>
      <c r="B100" s="6" t="s">
        <v>134</v>
      </c>
      <c r="C100" s="6" t="s">
        <v>437</v>
      </c>
      <c r="D100" s="6" t="s">
        <v>428</v>
      </c>
      <c r="E100" s="6" t="s">
        <v>428</v>
      </c>
      <c r="F100" s="6" t="s">
        <v>508</v>
      </c>
    </row>
    <row r="101" customFormat="false" ht="15" hidden="false" customHeight="true" outlineLevel="0" collapsed="false">
      <c r="A101" s="8" t="s">
        <v>567</v>
      </c>
      <c r="B101" s="8" t="s">
        <v>134</v>
      </c>
      <c r="C101" s="8" t="s">
        <v>437</v>
      </c>
      <c r="D101" s="8" t="s">
        <v>438</v>
      </c>
      <c r="E101" s="8"/>
      <c r="F101" s="8" t="s">
        <v>568</v>
      </c>
    </row>
    <row r="102" customFormat="false" ht="15" hidden="false" customHeight="true" outlineLevel="0" collapsed="false">
      <c r="A102" s="6" t="s">
        <v>569</v>
      </c>
      <c r="B102" s="6" t="s">
        <v>134</v>
      </c>
      <c r="C102" s="6" t="s">
        <v>437</v>
      </c>
      <c r="D102" s="6" t="s">
        <v>428</v>
      </c>
      <c r="E102" s="6" t="s">
        <v>428</v>
      </c>
      <c r="F102" s="6" t="s">
        <v>527</v>
      </c>
    </row>
    <row r="103" customFormat="false" ht="15" hidden="false" customHeight="true" outlineLevel="0" collapsed="false">
      <c r="A103" s="8" t="s">
        <v>174</v>
      </c>
      <c r="B103" s="8" t="s">
        <v>134</v>
      </c>
      <c r="C103" s="8" t="s">
        <v>437</v>
      </c>
      <c r="D103" s="8" t="s">
        <v>438</v>
      </c>
      <c r="E103" s="8"/>
      <c r="F103" s="8" t="s">
        <v>570</v>
      </c>
    </row>
    <row r="104" customFormat="false" ht="15" hidden="false" customHeight="true" outlineLevel="0" collapsed="false">
      <c r="A104" s="6" t="s">
        <v>571</v>
      </c>
      <c r="B104" s="6" t="s">
        <v>134</v>
      </c>
      <c r="C104" s="6" t="s">
        <v>437</v>
      </c>
      <c r="D104" s="6" t="s">
        <v>428</v>
      </c>
      <c r="E104" s="6" t="s">
        <v>428</v>
      </c>
      <c r="F104" s="6" t="s">
        <v>527</v>
      </c>
    </row>
    <row r="105" customFormat="false" ht="15" hidden="false" customHeight="true" outlineLevel="0" collapsed="false">
      <c r="A105" s="8" t="s">
        <v>572</v>
      </c>
      <c r="B105" s="8" t="s">
        <v>135</v>
      </c>
      <c r="C105" s="8" t="s">
        <v>418</v>
      </c>
      <c r="D105" s="8" t="s">
        <v>419</v>
      </c>
      <c r="E105" s="8" t="s">
        <v>420</v>
      </c>
      <c r="F105" s="8" t="s">
        <v>573</v>
      </c>
    </row>
    <row r="106" customFormat="false" ht="15" hidden="false" customHeight="true" outlineLevel="0" collapsed="false">
      <c r="A106" s="6" t="s">
        <v>572</v>
      </c>
      <c r="B106" s="6" t="s">
        <v>135</v>
      </c>
      <c r="C106" s="6" t="s">
        <v>418</v>
      </c>
      <c r="D106" s="6" t="s">
        <v>419</v>
      </c>
      <c r="E106" s="6" t="s">
        <v>420</v>
      </c>
      <c r="F106" s="6" t="s">
        <v>574</v>
      </c>
    </row>
    <row r="107" customFormat="false" ht="15" hidden="false" customHeight="true" outlineLevel="0" collapsed="false">
      <c r="A107" s="8" t="s">
        <v>575</v>
      </c>
      <c r="B107" s="8" t="s">
        <v>135</v>
      </c>
      <c r="C107" s="8" t="s">
        <v>414</v>
      </c>
      <c r="D107" s="8" t="s">
        <v>422</v>
      </c>
      <c r="E107" s="8" t="s">
        <v>414</v>
      </c>
      <c r="F107" s="8" t="s">
        <v>576</v>
      </c>
    </row>
    <row r="108" customFormat="false" ht="15" hidden="false" customHeight="true" outlineLevel="0" collapsed="false">
      <c r="A108" s="6" t="s">
        <v>575</v>
      </c>
      <c r="B108" s="6" t="s">
        <v>135</v>
      </c>
      <c r="C108" s="6" t="s">
        <v>414</v>
      </c>
      <c r="D108" s="6" t="s">
        <v>419</v>
      </c>
      <c r="E108" s="6" t="s">
        <v>420</v>
      </c>
      <c r="F108" s="6" t="s">
        <v>577</v>
      </c>
    </row>
    <row r="109" customFormat="false" ht="15" hidden="false" customHeight="true" outlineLevel="0" collapsed="false">
      <c r="A109" s="8" t="s">
        <v>578</v>
      </c>
      <c r="B109" s="8" t="s">
        <v>135</v>
      </c>
      <c r="C109" s="8" t="s">
        <v>418</v>
      </c>
      <c r="D109" s="8" t="s">
        <v>419</v>
      </c>
      <c r="E109" s="8" t="s">
        <v>420</v>
      </c>
      <c r="F109" s="8" t="s">
        <v>579</v>
      </c>
    </row>
    <row r="110" customFormat="false" ht="15" hidden="false" customHeight="true" outlineLevel="0" collapsed="false">
      <c r="A110" s="6" t="s">
        <v>578</v>
      </c>
      <c r="B110" s="6" t="s">
        <v>135</v>
      </c>
      <c r="C110" s="6" t="s">
        <v>437</v>
      </c>
      <c r="D110" s="6" t="s">
        <v>438</v>
      </c>
      <c r="E110" s="6"/>
      <c r="F110" s="6" t="s">
        <v>580</v>
      </c>
    </row>
    <row r="111" customFormat="false" ht="15" hidden="false" customHeight="true" outlineLevel="0" collapsed="false">
      <c r="A111" s="8" t="s">
        <v>581</v>
      </c>
      <c r="B111" s="8" t="s">
        <v>135</v>
      </c>
      <c r="C111" s="8" t="s">
        <v>437</v>
      </c>
      <c r="D111" s="8" t="s">
        <v>428</v>
      </c>
      <c r="E111" s="8" t="s">
        <v>428</v>
      </c>
      <c r="F111" s="8" t="s">
        <v>582</v>
      </c>
    </row>
    <row r="112" customFormat="false" ht="15" hidden="false" customHeight="true" outlineLevel="0" collapsed="false">
      <c r="A112" s="6" t="s">
        <v>583</v>
      </c>
      <c r="B112" s="6" t="s">
        <v>135</v>
      </c>
      <c r="C112" s="6" t="s">
        <v>418</v>
      </c>
      <c r="D112" s="6" t="s">
        <v>419</v>
      </c>
      <c r="E112" s="6" t="s">
        <v>420</v>
      </c>
      <c r="F112" s="6" t="s">
        <v>584</v>
      </c>
    </row>
    <row r="113" customFormat="false" ht="15" hidden="false" customHeight="true" outlineLevel="0" collapsed="false">
      <c r="A113" s="8" t="s">
        <v>585</v>
      </c>
      <c r="B113" s="8" t="s">
        <v>135</v>
      </c>
      <c r="C113" s="8" t="s">
        <v>414</v>
      </c>
      <c r="D113" s="8" t="s">
        <v>422</v>
      </c>
      <c r="E113" s="8" t="s">
        <v>414</v>
      </c>
      <c r="F113" s="8" t="s">
        <v>586</v>
      </c>
    </row>
    <row r="114" customFormat="false" ht="15" hidden="false" customHeight="true" outlineLevel="0" collapsed="false">
      <c r="A114" s="6" t="s">
        <v>585</v>
      </c>
      <c r="B114" s="6" t="s">
        <v>135</v>
      </c>
      <c r="C114" s="6" t="s">
        <v>414</v>
      </c>
      <c r="D114" s="6" t="s">
        <v>419</v>
      </c>
      <c r="E114" s="6" t="s">
        <v>420</v>
      </c>
      <c r="F114" s="6" t="s">
        <v>587</v>
      </c>
    </row>
    <row r="115" customFormat="false" ht="15" hidden="false" customHeight="true" outlineLevel="0" collapsed="false">
      <c r="A115" s="8" t="s">
        <v>588</v>
      </c>
      <c r="B115" s="8" t="s">
        <v>135</v>
      </c>
      <c r="C115" s="8" t="s">
        <v>437</v>
      </c>
      <c r="D115" s="8" t="s">
        <v>438</v>
      </c>
      <c r="E115" s="8"/>
      <c r="F115" s="8" t="s">
        <v>589</v>
      </c>
    </row>
    <row r="116" customFormat="false" ht="15" hidden="false" customHeight="true" outlineLevel="0" collapsed="false">
      <c r="A116" s="6" t="s">
        <v>590</v>
      </c>
      <c r="B116" s="6" t="s">
        <v>135</v>
      </c>
      <c r="C116" s="6" t="s">
        <v>437</v>
      </c>
      <c r="D116" s="6" t="s">
        <v>428</v>
      </c>
      <c r="E116" s="6" t="s">
        <v>428</v>
      </c>
      <c r="F116" s="6" t="s">
        <v>591</v>
      </c>
    </row>
    <row r="117" customFormat="false" ht="15" hidden="false" customHeight="true" outlineLevel="0" collapsed="false">
      <c r="A117" s="8" t="s">
        <v>592</v>
      </c>
      <c r="B117" s="8" t="s">
        <v>135</v>
      </c>
      <c r="C117" s="8" t="s">
        <v>437</v>
      </c>
      <c r="D117" s="8" t="s">
        <v>438</v>
      </c>
      <c r="E117" s="8"/>
      <c r="F117" s="8" t="s">
        <v>593</v>
      </c>
    </row>
    <row r="118" customFormat="false" ht="15" hidden="false" customHeight="true" outlineLevel="0" collapsed="false">
      <c r="A118" s="6" t="s">
        <v>594</v>
      </c>
      <c r="B118" s="6" t="s">
        <v>135</v>
      </c>
      <c r="C118" s="6" t="s">
        <v>437</v>
      </c>
      <c r="D118" s="6" t="s">
        <v>428</v>
      </c>
      <c r="E118" s="6" t="s">
        <v>428</v>
      </c>
      <c r="F118" s="6" t="s">
        <v>591</v>
      </c>
    </row>
    <row r="119" customFormat="false" ht="15" hidden="false" customHeight="true" outlineLevel="0" collapsed="false">
      <c r="A119" s="8" t="s">
        <v>594</v>
      </c>
      <c r="B119" s="8" t="s">
        <v>135</v>
      </c>
      <c r="C119" s="8" t="s">
        <v>437</v>
      </c>
      <c r="D119" s="8" t="s">
        <v>438</v>
      </c>
      <c r="E119" s="8"/>
      <c r="F119" s="8" t="s">
        <v>595</v>
      </c>
    </row>
    <row r="120" customFormat="false" ht="15" hidden="false" customHeight="true" outlineLevel="0" collapsed="false">
      <c r="A120" s="6" t="s">
        <v>596</v>
      </c>
      <c r="B120" s="6" t="s">
        <v>135</v>
      </c>
      <c r="C120" s="6" t="s">
        <v>437</v>
      </c>
      <c r="D120" s="6" t="s">
        <v>428</v>
      </c>
      <c r="E120" s="6" t="s">
        <v>428</v>
      </c>
      <c r="F120" s="6" t="s">
        <v>597</v>
      </c>
    </row>
    <row r="121" customFormat="false" ht="15" hidden="false" customHeight="true" outlineLevel="0" collapsed="false">
      <c r="A121" s="8" t="s">
        <v>598</v>
      </c>
      <c r="B121" s="8" t="s">
        <v>135</v>
      </c>
      <c r="C121" s="8" t="s">
        <v>437</v>
      </c>
      <c r="D121" s="8" t="s">
        <v>438</v>
      </c>
      <c r="E121" s="8"/>
      <c r="F121" s="8" t="s">
        <v>599</v>
      </c>
    </row>
    <row r="122" customFormat="false" ht="15" hidden="false" customHeight="true" outlineLevel="0" collapsed="false">
      <c r="A122" s="6" t="s">
        <v>600</v>
      </c>
      <c r="B122" s="6" t="s">
        <v>135</v>
      </c>
      <c r="C122" s="6" t="s">
        <v>437</v>
      </c>
      <c r="D122" s="6" t="s">
        <v>601</v>
      </c>
      <c r="E122" s="6" t="s">
        <v>601</v>
      </c>
      <c r="F122" s="6" t="s">
        <v>602</v>
      </c>
    </row>
    <row r="123" customFormat="false" ht="15" hidden="false" customHeight="true" outlineLevel="0" collapsed="false">
      <c r="A123" s="8" t="s">
        <v>600</v>
      </c>
      <c r="B123" s="8" t="s">
        <v>135</v>
      </c>
      <c r="C123" s="8" t="s">
        <v>437</v>
      </c>
      <c r="D123" s="8" t="s">
        <v>438</v>
      </c>
      <c r="E123" s="8"/>
      <c r="F123" s="8" t="s">
        <v>603</v>
      </c>
    </row>
    <row r="124" customFormat="false" ht="15" hidden="false" customHeight="true" outlineLevel="0" collapsed="false">
      <c r="A124" s="6" t="s">
        <v>604</v>
      </c>
      <c r="B124" s="6" t="s">
        <v>135</v>
      </c>
      <c r="C124" s="6" t="s">
        <v>437</v>
      </c>
      <c r="D124" s="6" t="s">
        <v>428</v>
      </c>
      <c r="E124" s="6" t="s">
        <v>428</v>
      </c>
      <c r="F124" s="6" t="s">
        <v>597</v>
      </c>
    </row>
    <row r="125" customFormat="false" ht="15" hidden="false" customHeight="true" outlineLevel="0" collapsed="false">
      <c r="A125" s="8" t="s">
        <v>605</v>
      </c>
      <c r="B125" s="8" t="s">
        <v>135</v>
      </c>
      <c r="C125" s="8" t="s">
        <v>418</v>
      </c>
      <c r="D125" s="8" t="s">
        <v>419</v>
      </c>
      <c r="E125" s="8" t="s">
        <v>420</v>
      </c>
      <c r="F125" s="8" t="s">
        <v>606</v>
      </c>
    </row>
    <row r="126" customFormat="false" ht="15" hidden="false" customHeight="true" outlineLevel="0" collapsed="false">
      <c r="A126" s="6" t="s">
        <v>605</v>
      </c>
      <c r="B126" s="6" t="s">
        <v>135</v>
      </c>
      <c r="C126" s="6" t="s">
        <v>414</v>
      </c>
      <c r="D126" s="6" t="s">
        <v>422</v>
      </c>
      <c r="E126" s="6" t="s">
        <v>414</v>
      </c>
      <c r="F126" s="6" t="s">
        <v>607</v>
      </c>
    </row>
    <row r="127" customFormat="false" ht="15" hidden="false" customHeight="true" outlineLevel="0" collapsed="false">
      <c r="A127" s="8" t="s">
        <v>605</v>
      </c>
      <c r="B127" s="8" t="s">
        <v>135</v>
      </c>
      <c r="C127" s="8" t="s">
        <v>414</v>
      </c>
      <c r="D127" s="8" t="s">
        <v>419</v>
      </c>
      <c r="E127" s="8" t="s">
        <v>420</v>
      </c>
      <c r="F127" s="8" t="s">
        <v>608</v>
      </c>
    </row>
    <row r="128" customFormat="false" ht="15" hidden="false" customHeight="true" outlineLevel="0" collapsed="false">
      <c r="A128" s="6" t="s">
        <v>609</v>
      </c>
      <c r="B128" s="6" t="s">
        <v>135</v>
      </c>
      <c r="C128" s="6" t="s">
        <v>418</v>
      </c>
      <c r="D128" s="6" t="s">
        <v>419</v>
      </c>
      <c r="E128" s="6" t="s">
        <v>420</v>
      </c>
      <c r="F128" s="6" t="s">
        <v>610</v>
      </c>
    </row>
    <row r="129" customFormat="false" ht="15" hidden="false" customHeight="true" outlineLevel="0" collapsed="false">
      <c r="A129" s="8" t="s">
        <v>609</v>
      </c>
      <c r="B129" s="8" t="s">
        <v>135</v>
      </c>
      <c r="C129" s="8" t="s">
        <v>437</v>
      </c>
      <c r="D129" s="8" t="s">
        <v>438</v>
      </c>
      <c r="E129" s="8"/>
      <c r="F129" s="8" t="s">
        <v>611</v>
      </c>
    </row>
    <row r="130" customFormat="false" ht="15" hidden="false" customHeight="true" outlineLevel="0" collapsed="false">
      <c r="A130" s="6" t="s">
        <v>612</v>
      </c>
      <c r="B130" s="6" t="s">
        <v>135</v>
      </c>
      <c r="C130" s="6" t="s">
        <v>437</v>
      </c>
      <c r="D130" s="6" t="s">
        <v>428</v>
      </c>
      <c r="E130" s="6" t="s">
        <v>428</v>
      </c>
      <c r="F130" s="6" t="s">
        <v>613</v>
      </c>
    </row>
    <row r="131" customFormat="false" ht="15" hidden="false" customHeight="true" outlineLevel="0" collapsed="false">
      <c r="A131" s="8" t="s">
        <v>614</v>
      </c>
      <c r="B131" s="8" t="s">
        <v>135</v>
      </c>
      <c r="C131" s="8" t="s">
        <v>418</v>
      </c>
      <c r="D131" s="8" t="s">
        <v>419</v>
      </c>
      <c r="E131" s="8" t="s">
        <v>420</v>
      </c>
      <c r="F131" s="8" t="s">
        <v>615</v>
      </c>
    </row>
    <row r="132" customFormat="false" ht="15" hidden="false" customHeight="true" outlineLevel="0" collapsed="false">
      <c r="A132" s="6" t="s">
        <v>614</v>
      </c>
      <c r="B132" s="6" t="s">
        <v>135</v>
      </c>
      <c r="C132" s="6" t="s">
        <v>414</v>
      </c>
      <c r="D132" s="6" t="s">
        <v>422</v>
      </c>
      <c r="E132" s="6" t="s">
        <v>414</v>
      </c>
      <c r="F132" s="6" t="s">
        <v>616</v>
      </c>
    </row>
    <row r="133" customFormat="false" ht="15" hidden="false" customHeight="true" outlineLevel="0" collapsed="false">
      <c r="A133" s="8" t="s">
        <v>614</v>
      </c>
      <c r="B133" s="8" t="s">
        <v>135</v>
      </c>
      <c r="C133" s="8" t="s">
        <v>414</v>
      </c>
      <c r="D133" s="8" t="s">
        <v>419</v>
      </c>
      <c r="E133" s="8" t="s">
        <v>420</v>
      </c>
      <c r="F133" s="8" t="s">
        <v>617</v>
      </c>
    </row>
    <row r="134" customFormat="false" ht="15" hidden="false" customHeight="true" outlineLevel="0" collapsed="false">
      <c r="A134" s="6" t="s">
        <v>618</v>
      </c>
      <c r="B134" s="6" t="s">
        <v>135</v>
      </c>
      <c r="C134" s="6" t="s">
        <v>437</v>
      </c>
      <c r="D134" s="6" t="s">
        <v>438</v>
      </c>
      <c r="E134" s="6"/>
      <c r="F134" s="6" t="s">
        <v>619</v>
      </c>
    </row>
    <row r="135" customFormat="false" ht="15" hidden="false" customHeight="true" outlineLevel="0" collapsed="false">
      <c r="A135" s="8" t="s">
        <v>620</v>
      </c>
      <c r="B135" s="8" t="s">
        <v>135</v>
      </c>
      <c r="C135" s="8" t="s">
        <v>437</v>
      </c>
      <c r="D135" s="8" t="s">
        <v>428</v>
      </c>
      <c r="E135" s="8" t="s">
        <v>428</v>
      </c>
      <c r="F135" s="8" t="s">
        <v>621</v>
      </c>
    </row>
    <row r="136" customFormat="false" ht="15" hidden="false" customHeight="true" outlineLevel="0" collapsed="false">
      <c r="A136" s="6" t="s">
        <v>622</v>
      </c>
      <c r="B136" s="6" t="s">
        <v>135</v>
      </c>
      <c r="C136" s="6" t="s">
        <v>437</v>
      </c>
      <c r="D136" s="6" t="s">
        <v>438</v>
      </c>
      <c r="E136" s="6"/>
      <c r="F136" s="6" t="s">
        <v>623</v>
      </c>
    </row>
    <row r="137" customFormat="false" ht="15" hidden="false" customHeight="true" outlineLevel="0" collapsed="false">
      <c r="A137" s="8" t="s">
        <v>624</v>
      </c>
      <c r="B137" s="8" t="s">
        <v>135</v>
      </c>
      <c r="C137" s="8" t="s">
        <v>437</v>
      </c>
      <c r="D137" s="8" t="s">
        <v>428</v>
      </c>
      <c r="E137" s="8" t="s">
        <v>428</v>
      </c>
      <c r="F137" s="8" t="s">
        <v>621</v>
      </c>
    </row>
    <row r="138" customFormat="false" ht="15" hidden="false" customHeight="true" outlineLevel="0" collapsed="false">
      <c r="A138" s="6" t="s">
        <v>624</v>
      </c>
      <c r="B138" s="6" t="s">
        <v>135</v>
      </c>
      <c r="C138" s="6" t="s">
        <v>418</v>
      </c>
      <c r="D138" s="6" t="s">
        <v>419</v>
      </c>
      <c r="E138" s="6" t="s">
        <v>420</v>
      </c>
      <c r="F138" s="6" t="s">
        <v>625</v>
      </c>
    </row>
    <row r="139" customFormat="false" ht="15" hidden="false" customHeight="true" outlineLevel="0" collapsed="false">
      <c r="A139" s="8" t="s">
        <v>626</v>
      </c>
      <c r="B139" s="8" t="s">
        <v>135</v>
      </c>
      <c r="C139" s="8" t="s">
        <v>414</v>
      </c>
      <c r="D139" s="8" t="s">
        <v>422</v>
      </c>
      <c r="E139" s="8" t="s">
        <v>414</v>
      </c>
      <c r="F139" s="8" t="s">
        <v>627</v>
      </c>
    </row>
    <row r="140" customFormat="false" ht="15" hidden="false" customHeight="true" outlineLevel="0" collapsed="false">
      <c r="A140" s="6" t="s">
        <v>628</v>
      </c>
      <c r="B140" s="6" t="s">
        <v>135</v>
      </c>
      <c r="C140" s="6" t="s">
        <v>414</v>
      </c>
      <c r="D140" s="6" t="s">
        <v>419</v>
      </c>
      <c r="E140" s="6" t="s">
        <v>420</v>
      </c>
      <c r="F140" s="6" t="s">
        <v>629</v>
      </c>
    </row>
    <row r="141" customFormat="false" ht="15" hidden="false" customHeight="true" outlineLevel="0" collapsed="false">
      <c r="A141" s="8" t="s">
        <v>628</v>
      </c>
      <c r="B141" s="8" t="s">
        <v>135</v>
      </c>
      <c r="C141" s="8" t="s">
        <v>437</v>
      </c>
      <c r="D141" s="8" t="s">
        <v>438</v>
      </c>
      <c r="E141" s="8"/>
      <c r="F141" s="8" t="s">
        <v>630</v>
      </c>
    </row>
    <row r="142" customFormat="false" ht="15" hidden="false" customHeight="true" outlineLevel="0" collapsed="false">
      <c r="A142" s="6" t="s">
        <v>631</v>
      </c>
      <c r="B142" s="6" t="s">
        <v>135</v>
      </c>
      <c r="C142" s="6" t="s">
        <v>437</v>
      </c>
      <c r="D142" s="6" t="s">
        <v>428</v>
      </c>
      <c r="E142" s="6" t="s">
        <v>428</v>
      </c>
      <c r="F142" s="6" t="s">
        <v>621</v>
      </c>
    </row>
    <row r="143" customFormat="false" ht="15" hidden="false" customHeight="true" outlineLevel="0" collapsed="false">
      <c r="A143" s="8" t="s">
        <v>632</v>
      </c>
      <c r="B143" s="8" t="s">
        <v>135</v>
      </c>
      <c r="C143" s="8" t="s">
        <v>437</v>
      </c>
      <c r="D143" s="8" t="s">
        <v>438</v>
      </c>
      <c r="E143" s="8"/>
      <c r="F143" s="8" t="s">
        <v>633</v>
      </c>
    </row>
    <row r="144" customFormat="false" ht="15" hidden="false" customHeight="true" outlineLevel="0" collapsed="false">
      <c r="A144" s="6" t="s">
        <v>634</v>
      </c>
      <c r="B144" s="6" t="s">
        <v>135</v>
      </c>
      <c r="C144" s="6" t="s">
        <v>437</v>
      </c>
      <c r="D144" s="6" t="s">
        <v>428</v>
      </c>
      <c r="E144" s="6" t="s">
        <v>428</v>
      </c>
      <c r="F144" s="6" t="s">
        <v>621</v>
      </c>
    </row>
    <row r="145" customFormat="false" ht="15" hidden="false" customHeight="true" outlineLevel="0" collapsed="false">
      <c r="A145" s="8" t="s">
        <v>634</v>
      </c>
      <c r="B145" s="8" t="s">
        <v>135</v>
      </c>
      <c r="C145" s="8" t="s">
        <v>418</v>
      </c>
      <c r="D145" s="8" t="s">
        <v>419</v>
      </c>
      <c r="E145" s="8" t="s">
        <v>420</v>
      </c>
      <c r="F145" s="8" t="s">
        <v>635</v>
      </c>
    </row>
    <row r="146" customFormat="false" ht="15" hidden="false" customHeight="true" outlineLevel="0" collapsed="false">
      <c r="A146" s="6" t="s">
        <v>634</v>
      </c>
      <c r="B146" s="6" t="s">
        <v>135</v>
      </c>
      <c r="C146" s="6" t="s">
        <v>437</v>
      </c>
      <c r="D146" s="6" t="s">
        <v>438</v>
      </c>
      <c r="E146" s="6"/>
      <c r="F146" s="6" t="s">
        <v>636</v>
      </c>
    </row>
    <row r="147" customFormat="false" ht="15" hidden="false" customHeight="true" outlineLevel="0" collapsed="false">
      <c r="A147" s="8" t="s">
        <v>637</v>
      </c>
      <c r="B147" s="8" t="s">
        <v>135</v>
      </c>
      <c r="C147" s="8" t="s">
        <v>437</v>
      </c>
      <c r="D147" s="8" t="s">
        <v>428</v>
      </c>
      <c r="E147" s="8" t="s">
        <v>428</v>
      </c>
      <c r="F147" s="8" t="s">
        <v>638</v>
      </c>
    </row>
    <row r="148" customFormat="false" ht="15" hidden="false" customHeight="true" outlineLevel="0" collapsed="false">
      <c r="A148" s="6" t="s">
        <v>639</v>
      </c>
      <c r="B148" s="6" t="s">
        <v>135</v>
      </c>
      <c r="C148" s="6" t="s">
        <v>437</v>
      </c>
      <c r="D148" s="6" t="s">
        <v>438</v>
      </c>
      <c r="E148" s="6"/>
      <c r="F148" s="6" t="s">
        <v>640</v>
      </c>
    </row>
    <row r="149" customFormat="false" ht="15" hidden="false" customHeight="true" outlineLevel="0" collapsed="false">
      <c r="A149" s="8" t="s">
        <v>641</v>
      </c>
      <c r="B149" s="8" t="s">
        <v>135</v>
      </c>
      <c r="C149" s="8" t="s">
        <v>437</v>
      </c>
      <c r="D149" s="8" t="s">
        <v>428</v>
      </c>
      <c r="E149" s="8" t="s">
        <v>428</v>
      </c>
      <c r="F149" s="8" t="s">
        <v>642</v>
      </c>
    </row>
    <row r="150" customFormat="false" ht="15" hidden="false" customHeight="true" outlineLevel="0" collapsed="false">
      <c r="A150" s="6" t="s">
        <v>643</v>
      </c>
      <c r="B150" s="6" t="s">
        <v>135</v>
      </c>
      <c r="C150" s="6" t="s">
        <v>437</v>
      </c>
      <c r="D150" s="6" t="s">
        <v>438</v>
      </c>
      <c r="E150" s="6"/>
      <c r="F150" s="6" t="s">
        <v>644</v>
      </c>
    </row>
    <row r="151" customFormat="false" ht="15" hidden="false" customHeight="true" outlineLevel="0" collapsed="false">
      <c r="A151" s="8" t="s">
        <v>645</v>
      </c>
      <c r="B151" s="8" t="s">
        <v>135</v>
      </c>
      <c r="C151" s="8" t="s">
        <v>437</v>
      </c>
      <c r="D151" s="8" t="s">
        <v>428</v>
      </c>
      <c r="E151" s="8" t="s">
        <v>428</v>
      </c>
      <c r="F151" s="8" t="s">
        <v>642</v>
      </c>
    </row>
    <row r="152" customFormat="false" ht="15" hidden="false" customHeight="true" outlineLevel="0" collapsed="false">
      <c r="A152" s="6" t="s">
        <v>646</v>
      </c>
      <c r="B152" s="6" t="s">
        <v>135</v>
      </c>
      <c r="C152" s="6" t="s">
        <v>437</v>
      </c>
      <c r="D152" s="6" t="s">
        <v>438</v>
      </c>
      <c r="E152" s="6"/>
      <c r="F152" s="6" t="s">
        <v>647</v>
      </c>
    </row>
    <row r="153" customFormat="false" ht="15" hidden="false" customHeight="true" outlineLevel="0" collapsed="false">
      <c r="A153" s="8" t="s">
        <v>648</v>
      </c>
      <c r="B153" s="8" t="s">
        <v>135</v>
      </c>
      <c r="C153" s="8" t="s">
        <v>437</v>
      </c>
      <c r="D153" s="8" t="s">
        <v>428</v>
      </c>
      <c r="E153" s="8" t="s">
        <v>428</v>
      </c>
      <c r="F153" s="8" t="s">
        <v>649</v>
      </c>
    </row>
    <row r="154" customFormat="false" ht="15" hidden="false" customHeight="true" outlineLevel="0" collapsed="false">
      <c r="A154" s="6" t="s">
        <v>650</v>
      </c>
      <c r="B154" s="6" t="s">
        <v>135</v>
      </c>
      <c r="C154" s="6" t="s">
        <v>437</v>
      </c>
      <c r="D154" s="6" t="s">
        <v>438</v>
      </c>
      <c r="E154" s="6"/>
      <c r="F154" s="6" t="s">
        <v>651</v>
      </c>
    </row>
    <row r="155" customFormat="false" ht="15" hidden="false" customHeight="true" outlineLevel="0" collapsed="false">
      <c r="A155" s="8" t="s">
        <v>652</v>
      </c>
      <c r="B155" s="8" t="s">
        <v>135</v>
      </c>
      <c r="C155" s="8" t="s">
        <v>437</v>
      </c>
      <c r="D155" s="8" t="s">
        <v>428</v>
      </c>
      <c r="E155" s="8" t="s">
        <v>428</v>
      </c>
      <c r="F155" s="8" t="s">
        <v>642</v>
      </c>
    </row>
    <row r="156" customFormat="false" ht="15" hidden="false" customHeight="true" outlineLevel="0" collapsed="false">
      <c r="A156" s="6" t="s">
        <v>653</v>
      </c>
      <c r="B156" s="6" t="s">
        <v>135</v>
      </c>
      <c r="C156" s="6" t="s">
        <v>437</v>
      </c>
      <c r="D156" s="6" t="s">
        <v>438</v>
      </c>
      <c r="E156" s="6"/>
      <c r="F156" s="6" t="s">
        <v>654</v>
      </c>
    </row>
    <row r="157" customFormat="false" ht="15" hidden="false" customHeight="true" outlineLevel="0" collapsed="false">
      <c r="A157" s="8" t="s">
        <v>655</v>
      </c>
      <c r="B157" s="8" t="s">
        <v>135</v>
      </c>
      <c r="C157" s="8" t="s">
        <v>437</v>
      </c>
      <c r="D157" s="8" t="s">
        <v>428</v>
      </c>
      <c r="E157" s="8" t="s">
        <v>428</v>
      </c>
      <c r="F157" s="8" t="s">
        <v>642</v>
      </c>
    </row>
    <row r="158" customFormat="false" ht="15" hidden="false" customHeight="true" outlineLevel="0" collapsed="false">
      <c r="A158" s="6" t="s">
        <v>656</v>
      </c>
      <c r="B158" s="6" t="s">
        <v>135</v>
      </c>
      <c r="C158" s="6" t="s">
        <v>437</v>
      </c>
      <c r="D158" s="6" t="s">
        <v>438</v>
      </c>
      <c r="E158" s="6"/>
      <c r="F158" s="6" t="s">
        <v>657</v>
      </c>
    </row>
    <row r="159" customFormat="false" ht="15" hidden="false" customHeight="true" outlineLevel="0" collapsed="false">
      <c r="A159" s="8" t="s">
        <v>658</v>
      </c>
      <c r="B159" s="8" t="s">
        <v>135</v>
      </c>
      <c r="C159" s="8" t="s">
        <v>437</v>
      </c>
      <c r="D159" s="8" t="s">
        <v>428</v>
      </c>
      <c r="E159" s="8" t="s">
        <v>428</v>
      </c>
      <c r="F159" s="8" t="s">
        <v>659</v>
      </c>
    </row>
    <row r="160" customFormat="false" ht="15" hidden="false" customHeight="true" outlineLevel="0" collapsed="false">
      <c r="A160" s="6" t="s">
        <v>660</v>
      </c>
      <c r="B160" s="6" t="s">
        <v>135</v>
      </c>
      <c r="C160" s="6" t="s">
        <v>437</v>
      </c>
      <c r="D160" s="6" t="s">
        <v>438</v>
      </c>
      <c r="E160" s="6"/>
      <c r="F160" s="6" t="s">
        <v>661</v>
      </c>
    </row>
    <row r="161" customFormat="false" ht="15" hidden="false" customHeight="true" outlineLevel="0" collapsed="false">
      <c r="A161" s="8" t="s">
        <v>662</v>
      </c>
      <c r="B161" s="8" t="s">
        <v>135</v>
      </c>
      <c r="C161" s="8" t="s">
        <v>437</v>
      </c>
      <c r="D161" s="8" t="s">
        <v>428</v>
      </c>
      <c r="E161" s="8" t="s">
        <v>428</v>
      </c>
      <c r="F161" s="8" t="s">
        <v>642</v>
      </c>
    </row>
    <row r="162" customFormat="false" ht="15" hidden="false" customHeight="true" outlineLevel="0" collapsed="false">
      <c r="A162" s="6" t="s">
        <v>663</v>
      </c>
      <c r="B162" s="6" t="s">
        <v>135</v>
      </c>
      <c r="C162" s="6" t="s">
        <v>437</v>
      </c>
      <c r="D162" s="6" t="s">
        <v>438</v>
      </c>
      <c r="E162" s="6"/>
      <c r="F162" s="6" t="s">
        <v>664</v>
      </c>
    </row>
    <row r="163" customFormat="false" ht="15" hidden="false" customHeight="true" outlineLevel="0" collapsed="false">
      <c r="A163" s="8" t="s">
        <v>665</v>
      </c>
      <c r="B163" s="8" t="s">
        <v>135</v>
      </c>
      <c r="C163" s="8" t="s">
        <v>437</v>
      </c>
      <c r="D163" s="8" t="s">
        <v>428</v>
      </c>
      <c r="E163" s="8" t="s">
        <v>428</v>
      </c>
      <c r="F163" s="8" t="s">
        <v>666</v>
      </c>
    </row>
    <row r="164" customFormat="false" ht="15" hidden="false" customHeight="true" outlineLevel="0" collapsed="false">
      <c r="A164" s="6" t="s">
        <v>667</v>
      </c>
      <c r="B164" s="6" t="s">
        <v>135</v>
      </c>
      <c r="C164" s="6" t="s">
        <v>437</v>
      </c>
      <c r="D164" s="6" t="s">
        <v>438</v>
      </c>
      <c r="E164" s="6"/>
      <c r="F164" s="6" t="s">
        <v>644</v>
      </c>
    </row>
    <row r="165" customFormat="false" ht="15" hidden="false" customHeight="true" outlineLevel="0" collapsed="false">
      <c r="A165" s="8" t="s">
        <v>668</v>
      </c>
      <c r="B165" s="8" t="s">
        <v>135</v>
      </c>
      <c r="C165" s="8" t="s">
        <v>437</v>
      </c>
      <c r="D165" s="8" t="s">
        <v>428</v>
      </c>
      <c r="E165" s="8" t="s">
        <v>428</v>
      </c>
      <c r="F165" s="8" t="s">
        <v>642</v>
      </c>
    </row>
    <row r="166" customFormat="false" ht="15" hidden="false" customHeight="true" outlineLevel="0" collapsed="false">
      <c r="A166" s="6" t="s">
        <v>669</v>
      </c>
      <c r="B166" s="6" t="s">
        <v>135</v>
      </c>
      <c r="C166" s="6" t="s">
        <v>418</v>
      </c>
      <c r="D166" s="6" t="s">
        <v>419</v>
      </c>
      <c r="E166" s="6" t="s">
        <v>420</v>
      </c>
      <c r="F166" s="6" t="s">
        <v>670</v>
      </c>
    </row>
    <row r="167" customFormat="false" ht="15" hidden="false" customHeight="true" outlineLevel="0" collapsed="false">
      <c r="A167" s="8" t="s">
        <v>671</v>
      </c>
      <c r="B167" s="8" t="s">
        <v>135</v>
      </c>
      <c r="C167" s="8" t="s">
        <v>437</v>
      </c>
      <c r="D167" s="8" t="s">
        <v>438</v>
      </c>
      <c r="E167" s="8"/>
      <c r="F167" s="8" t="s">
        <v>672</v>
      </c>
    </row>
    <row r="168" customFormat="false" ht="15" hidden="false" customHeight="true" outlineLevel="0" collapsed="false">
      <c r="A168" s="6" t="s">
        <v>673</v>
      </c>
      <c r="B168" s="6" t="s">
        <v>135</v>
      </c>
      <c r="C168" s="6" t="s">
        <v>437</v>
      </c>
      <c r="D168" s="6" t="s">
        <v>428</v>
      </c>
      <c r="E168" s="6" t="s">
        <v>428</v>
      </c>
      <c r="F168" s="6" t="s">
        <v>642</v>
      </c>
    </row>
    <row r="169" customFormat="false" ht="15" hidden="false" customHeight="true" outlineLevel="0" collapsed="false">
      <c r="A169" s="8" t="s">
        <v>200</v>
      </c>
      <c r="B169" s="8" t="s">
        <v>134</v>
      </c>
      <c r="C169" s="8" t="s">
        <v>418</v>
      </c>
      <c r="D169" s="8" t="s">
        <v>419</v>
      </c>
      <c r="E169" s="8" t="s">
        <v>420</v>
      </c>
      <c r="F169" s="8" t="s">
        <v>674</v>
      </c>
    </row>
    <row r="170" customFormat="false" ht="15" hidden="false" customHeight="true" outlineLevel="0" collapsed="false">
      <c r="A170" s="6" t="s">
        <v>200</v>
      </c>
      <c r="B170" s="6" t="s">
        <v>134</v>
      </c>
      <c r="C170" s="6" t="s">
        <v>414</v>
      </c>
      <c r="D170" s="6" t="s">
        <v>422</v>
      </c>
      <c r="E170" s="6" t="s">
        <v>414</v>
      </c>
      <c r="F170" s="6" t="s">
        <v>675</v>
      </c>
    </row>
    <row r="171" customFormat="false" ht="15" hidden="false" customHeight="true" outlineLevel="0" collapsed="false">
      <c r="A171" s="8" t="s">
        <v>200</v>
      </c>
      <c r="B171" s="8" t="s">
        <v>134</v>
      </c>
      <c r="C171" s="8" t="s">
        <v>414</v>
      </c>
      <c r="D171" s="8" t="s">
        <v>419</v>
      </c>
      <c r="E171" s="8" t="s">
        <v>420</v>
      </c>
      <c r="F171" s="8" t="s">
        <v>676</v>
      </c>
    </row>
    <row r="172" customFormat="false" ht="15" hidden="false" customHeight="true" outlineLevel="0" collapsed="false">
      <c r="A172" s="6" t="s">
        <v>677</v>
      </c>
      <c r="B172" s="6" t="s">
        <v>135</v>
      </c>
      <c r="C172" s="6" t="s">
        <v>418</v>
      </c>
      <c r="D172" s="6" t="s">
        <v>419</v>
      </c>
      <c r="E172" s="6" t="s">
        <v>420</v>
      </c>
      <c r="F172" s="6" t="s">
        <v>678</v>
      </c>
    </row>
    <row r="173" customFormat="false" ht="15" hidden="false" customHeight="true" outlineLevel="0" collapsed="false">
      <c r="A173" s="8" t="s">
        <v>677</v>
      </c>
      <c r="B173" s="8" t="s">
        <v>135</v>
      </c>
      <c r="C173" s="8" t="s">
        <v>414</v>
      </c>
      <c r="D173" s="8" t="s">
        <v>422</v>
      </c>
      <c r="E173" s="8" t="s">
        <v>414</v>
      </c>
      <c r="F173" s="8" t="s">
        <v>679</v>
      </c>
    </row>
    <row r="174" customFormat="false" ht="15" hidden="false" customHeight="true" outlineLevel="0" collapsed="false">
      <c r="A174" s="6" t="s">
        <v>677</v>
      </c>
      <c r="B174" s="6" t="s">
        <v>135</v>
      </c>
      <c r="C174" s="6" t="s">
        <v>414</v>
      </c>
      <c r="D174" s="6" t="s">
        <v>419</v>
      </c>
      <c r="E174" s="6" t="s">
        <v>420</v>
      </c>
      <c r="F174" s="6" t="s">
        <v>680</v>
      </c>
    </row>
    <row r="175" customFormat="false" ht="15" hidden="false" customHeight="true" outlineLevel="0" collapsed="false">
      <c r="A175" s="8" t="s">
        <v>681</v>
      </c>
      <c r="B175" s="8" t="s">
        <v>135</v>
      </c>
      <c r="C175" s="8" t="s">
        <v>437</v>
      </c>
      <c r="D175" s="8" t="s">
        <v>438</v>
      </c>
      <c r="E175" s="8"/>
      <c r="F175" s="8" t="s">
        <v>682</v>
      </c>
    </row>
    <row r="176" customFormat="false" ht="15" hidden="false" customHeight="true" outlineLevel="0" collapsed="false">
      <c r="A176" s="6" t="s">
        <v>683</v>
      </c>
      <c r="B176" s="6" t="s">
        <v>135</v>
      </c>
      <c r="C176" s="6" t="s">
        <v>437</v>
      </c>
      <c r="D176" s="6" t="s">
        <v>428</v>
      </c>
      <c r="E176" s="6" t="s">
        <v>428</v>
      </c>
      <c r="F176" s="6" t="s">
        <v>684</v>
      </c>
    </row>
    <row r="177" customFormat="false" ht="15" hidden="false" customHeight="true" outlineLevel="0" collapsed="false">
      <c r="A177" s="8" t="s">
        <v>685</v>
      </c>
      <c r="B177" s="8" t="s">
        <v>135</v>
      </c>
      <c r="C177" s="8" t="s">
        <v>437</v>
      </c>
      <c r="D177" s="8" t="s">
        <v>438</v>
      </c>
      <c r="E177" s="8"/>
      <c r="F177" s="8" t="s">
        <v>686</v>
      </c>
    </row>
    <row r="178" customFormat="false" ht="15" hidden="false" customHeight="true" outlineLevel="0" collapsed="false">
      <c r="A178" s="6" t="s">
        <v>687</v>
      </c>
      <c r="B178" s="6" t="s">
        <v>135</v>
      </c>
      <c r="C178" s="6" t="s">
        <v>437</v>
      </c>
      <c r="D178" s="6" t="s">
        <v>428</v>
      </c>
      <c r="E178" s="6" t="s">
        <v>428</v>
      </c>
      <c r="F178" s="6" t="s">
        <v>684</v>
      </c>
    </row>
    <row r="179" customFormat="false" ht="15" hidden="false" customHeight="true" outlineLevel="0" collapsed="false">
      <c r="A179" s="8" t="s">
        <v>687</v>
      </c>
      <c r="B179" s="8" t="s">
        <v>135</v>
      </c>
      <c r="C179" s="8" t="s">
        <v>437</v>
      </c>
      <c r="D179" s="8" t="s">
        <v>438</v>
      </c>
      <c r="E179" s="8"/>
      <c r="F179" s="8" t="s">
        <v>688</v>
      </c>
    </row>
    <row r="180" customFormat="false" ht="15" hidden="false" customHeight="true" outlineLevel="0" collapsed="false">
      <c r="A180" s="6" t="s">
        <v>689</v>
      </c>
      <c r="B180" s="6" t="s">
        <v>135</v>
      </c>
      <c r="C180" s="6" t="s">
        <v>437</v>
      </c>
      <c r="D180" s="6" t="s">
        <v>428</v>
      </c>
      <c r="E180" s="6" t="s">
        <v>428</v>
      </c>
      <c r="F180" s="6" t="s">
        <v>690</v>
      </c>
    </row>
    <row r="181" customFormat="false" ht="15" hidden="false" customHeight="true" outlineLevel="0" collapsed="false">
      <c r="A181" s="8" t="s">
        <v>691</v>
      </c>
      <c r="B181" s="8" t="s">
        <v>135</v>
      </c>
      <c r="C181" s="8" t="s">
        <v>437</v>
      </c>
      <c r="D181" s="8" t="s">
        <v>438</v>
      </c>
      <c r="E181" s="8"/>
      <c r="F181" s="8" t="s">
        <v>692</v>
      </c>
    </row>
    <row r="182" customFormat="false" ht="15" hidden="false" customHeight="true" outlineLevel="0" collapsed="false">
      <c r="A182" s="6" t="s">
        <v>693</v>
      </c>
      <c r="B182" s="6" t="s">
        <v>135</v>
      </c>
      <c r="C182" s="6" t="s">
        <v>437</v>
      </c>
      <c r="D182" s="6" t="s">
        <v>428</v>
      </c>
      <c r="E182" s="6" t="s">
        <v>428</v>
      </c>
      <c r="F182" s="6" t="s">
        <v>684</v>
      </c>
    </row>
    <row r="183" customFormat="false" ht="15" hidden="false" customHeight="true" outlineLevel="0" collapsed="false">
      <c r="A183" s="8" t="s">
        <v>693</v>
      </c>
      <c r="B183" s="8" t="s">
        <v>135</v>
      </c>
      <c r="C183" s="8" t="s">
        <v>437</v>
      </c>
      <c r="D183" s="8" t="s">
        <v>438</v>
      </c>
      <c r="E183" s="8"/>
      <c r="F183" s="8" t="s">
        <v>694</v>
      </c>
    </row>
    <row r="184" customFormat="false" ht="15" hidden="false" customHeight="true" outlineLevel="0" collapsed="false">
      <c r="A184" s="6" t="s">
        <v>695</v>
      </c>
      <c r="B184" s="6" t="s">
        <v>135</v>
      </c>
      <c r="C184" s="6" t="s">
        <v>437</v>
      </c>
      <c r="D184" s="6" t="s">
        <v>428</v>
      </c>
      <c r="E184" s="6" t="s">
        <v>428</v>
      </c>
      <c r="F184" s="6" t="s">
        <v>690</v>
      </c>
    </row>
    <row r="185" customFormat="false" ht="15" hidden="false" customHeight="true" outlineLevel="0" collapsed="false">
      <c r="A185" s="8" t="s">
        <v>206</v>
      </c>
      <c r="B185" s="8" t="s">
        <v>135</v>
      </c>
      <c r="C185" s="8" t="s">
        <v>437</v>
      </c>
      <c r="D185" s="8" t="s">
        <v>438</v>
      </c>
      <c r="E185" s="8"/>
      <c r="F185" s="8" t="s">
        <v>696</v>
      </c>
    </row>
    <row r="186" customFormat="false" ht="15" hidden="false" customHeight="true" outlineLevel="0" collapsed="false">
      <c r="A186" s="6" t="s">
        <v>697</v>
      </c>
      <c r="B186" s="6" t="s">
        <v>135</v>
      </c>
      <c r="C186" s="6" t="s">
        <v>437</v>
      </c>
      <c r="D186" s="6" t="s">
        <v>428</v>
      </c>
      <c r="E186" s="6" t="s">
        <v>428</v>
      </c>
      <c r="F186" s="6" t="s">
        <v>684</v>
      </c>
    </row>
    <row r="187" customFormat="false" ht="15" hidden="false" customHeight="true" outlineLevel="0" collapsed="false">
      <c r="A187" s="8" t="s">
        <v>697</v>
      </c>
      <c r="B187" s="8" t="s">
        <v>135</v>
      </c>
      <c r="C187" s="8" t="s">
        <v>418</v>
      </c>
      <c r="D187" s="8" t="s">
        <v>419</v>
      </c>
      <c r="E187" s="8" t="s">
        <v>420</v>
      </c>
      <c r="F187" s="8" t="s">
        <v>698</v>
      </c>
    </row>
    <row r="188" customFormat="false" ht="15" hidden="false" customHeight="true" outlineLevel="0" collapsed="false">
      <c r="A188" s="6" t="s">
        <v>697</v>
      </c>
      <c r="B188" s="6" t="s">
        <v>135</v>
      </c>
      <c r="C188" s="6" t="s">
        <v>437</v>
      </c>
      <c r="D188" s="6" t="s">
        <v>438</v>
      </c>
      <c r="E188" s="6"/>
      <c r="F188" s="6" t="s">
        <v>699</v>
      </c>
    </row>
    <row r="189" customFormat="false" ht="15" hidden="false" customHeight="true" outlineLevel="0" collapsed="false">
      <c r="A189" s="8" t="s">
        <v>700</v>
      </c>
      <c r="B189" s="8" t="s">
        <v>135</v>
      </c>
      <c r="C189" s="8" t="s">
        <v>437</v>
      </c>
      <c r="D189" s="8" t="s">
        <v>428</v>
      </c>
      <c r="E189" s="8" t="s">
        <v>428</v>
      </c>
      <c r="F189" s="8" t="s">
        <v>690</v>
      </c>
    </row>
    <row r="190" customFormat="false" ht="15" hidden="false" customHeight="true" outlineLevel="0" collapsed="false">
      <c r="A190" s="6" t="s">
        <v>701</v>
      </c>
      <c r="B190" s="6" t="s">
        <v>135</v>
      </c>
      <c r="C190" s="6" t="s">
        <v>418</v>
      </c>
      <c r="D190" s="6" t="s">
        <v>419</v>
      </c>
      <c r="E190" s="6" t="s">
        <v>420</v>
      </c>
      <c r="F190" s="6" t="s">
        <v>702</v>
      </c>
    </row>
    <row r="191" customFormat="false" ht="15" hidden="false" customHeight="true" outlineLevel="0" collapsed="false">
      <c r="A191" s="8" t="s">
        <v>703</v>
      </c>
      <c r="B191" s="8" t="s">
        <v>135</v>
      </c>
      <c r="C191" s="8" t="s">
        <v>414</v>
      </c>
      <c r="D191" s="8" t="s">
        <v>422</v>
      </c>
      <c r="E191" s="8" t="s">
        <v>414</v>
      </c>
      <c r="F191" s="8" t="s">
        <v>704</v>
      </c>
    </row>
    <row r="192" customFormat="false" ht="15" hidden="false" customHeight="true" outlineLevel="0" collapsed="false">
      <c r="A192" s="6" t="s">
        <v>703</v>
      </c>
      <c r="B192" s="6" t="s">
        <v>135</v>
      </c>
      <c r="C192" s="6" t="s">
        <v>414</v>
      </c>
      <c r="D192" s="6" t="s">
        <v>419</v>
      </c>
      <c r="E192" s="6" t="s">
        <v>420</v>
      </c>
      <c r="F192" s="6" t="s">
        <v>705</v>
      </c>
    </row>
    <row r="193" customFormat="false" ht="15" hidden="false" customHeight="true" outlineLevel="0" collapsed="false">
      <c r="A193" s="8" t="s">
        <v>706</v>
      </c>
      <c r="B193" s="8" t="s">
        <v>135</v>
      </c>
      <c r="C193" s="8" t="s">
        <v>418</v>
      </c>
      <c r="D193" s="8" t="s">
        <v>419</v>
      </c>
      <c r="E193" s="8" t="s">
        <v>420</v>
      </c>
      <c r="F193" s="8" t="s">
        <v>707</v>
      </c>
    </row>
    <row r="194" customFormat="false" ht="15" hidden="false" customHeight="true" outlineLevel="0" collapsed="false">
      <c r="A194" s="6" t="s">
        <v>706</v>
      </c>
      <c r="B194" s="6" t="s">
        <v>135</v>
      </c>
      <c r="C194" s="6" t="s">
        <v>414</v>
      </c>
      <c r="D194" s="6" t="s">
        <v>422</v>
      </c>
      <c r="E194" s="6" t="s">
        <v>414</v>
      </c>
      <c r="F194" s="6" t="s">
        <v>708</v>
      </c>
    </row>
    <row r="195" customFormat="false" ht="15" hidden="false" customHeight="true" outlineLevel="0" collapsed="false">
      <c r="A195" s="8" t="s">
        <v>706</v>
      </c>
      <c r="B195" s="8" t="s">
        <v>135</v>
      </c>
      <c r="C195" s="8" t="s">
        <v>414</v>
      </c>
      <c r="D195" s="8" t="s">
        <v>419</v>
      </c>
      <c r="E195" s="8" t="s">
        <v>420</v>
      </c>
      <c r="F195" s="8" t="s">
        <v>709</v>
      </c>
    </row>
    <row r="196" customFormat="false" ht="15" hidden="false" customHeight="true" outlineLevel="0" collapsed="false">
      <c r="A196" s="6" t="s">
        <v>710</v>
      </c>
      <c r="B196" s="6" t="s">
        <v>135</v>
      </c>
      <c r="C196" s="6" t="s">
        <v>418</v>
      </c>
      <c r="D196" s="6" t="s">
        <v>419</v>
      </c>
      <c r="E196" s="6" t="s">
        <v>420</v>
      </c>
      <c r="F196" s="6" t="s">
        <v>711</v>
      </c>
    </row>
    <row r="197" customFormat="false" ht="15" hidden="false" customHeight="true" outlineLevel="0" collapsed="false">
      <c r="A197" s="8" t="s">
        <v>710</v>
      </c>
      <c r="B197" s="8" t="s">
        <v>135</v>
      </c>
      <c r="C197" s="8" t="s">
        <v>414</v>
      </c>
      <c r="D197" s="8" t="s">
        <v>422</v>
      </c>
      <c r="E197" s="8" t="s">
        <v>414</v>
      </c>
      <c r="F197" s="8" t="s">
        <v>712</v>
      </c>
    </row>
    <row r="198" customFormat="false" ht="15" hidden="false" customHeight="true" outlineLevel="0" collapsed="false">
      <c r="A198" s="6" t="s">
        <v>710</v>
      </c>
      <c r="B198" s="6" t="s">
        <v>135</v>
      </c>
      <c r="C198" s="6" t="s">
        <v>414</v>
      </c>
      <c r="D198" s="6" t="s">
        <v>419</v>
      </c>
      <c r="E198" s="6" t="s">
        <v>420</v>
      </c>
      <c r="F198" s="6" t="s">
        <v>713</v>
      </c>
    </row>
    <row r="199" customFormat="false" ht="15" hidden="false" customHeight="true" outlineLevel="0" collapsed="false">
      <c r="A199" s="8" t="s">
        <v>714</v>
      </c>
      <c r="B199" s="8" t="s">
        <v>135</v>
      </c>
      <c r="C199" s="8" t="s">
        <v>418</v>
      </c>
      <c r="D199" s="8" t="s">
        <v>419</v>
      </c>
      <c r="E199" s="8" t="s">
        <v>420</v>
      </c>
      <c r="F199" s="8" t="s">
        <v>715</v>
      </c>
    </row>
    <row r="200" customFormat="false" ht="15" hidden="false" customHeight="true" outlineLevel="0" collapsed="false">
      <c r="A200" s="6" t="s">
        <v>714</v>
      </c>
      <c r="B200" s="6" t="s">
        <v>135</v>
      </c>
      <c r="C200" s="6" t="s">
        <v>414</v>
      </c>
      <c r="D200" s="6" t="s">
        <v>422</v>
      </c>
      <c r="E200" s="6" t="s">
        <v>414</v>
      </c>
      <c r="F200" s="6" t="s">
        <v>716</v>
      </c>
    </row>
    <row r="201" customFormat="false" ht="15" hidden="false" customHeight="true" outlineLevel="0" collapsed="false">
      <c r="A201" s="8" t="s">
        <v>714</v>
      </c>
      <c r="B201" s="8" t="s">
        <v>135</v>
      </c>
      <c r="C201" s="8" t="s">
        <v>414</v>
      </c>
      <c r="D201" s="8" t="s">
        <v>419</v>
      </c>
      <c r="E201" s="8" t="s">
        <v>420</v>
      </c>
      <c r="F201" s="8" t="s">
        <v>717</v>
      </c>
    </row>
    <row r="202" customFormat="false" ht="15" hidden="false" customHeight="true" outlineLevel="0" collapsed="false">
      <c r="A202" s="6" t="s">
        <v>718</v>
      </c>
      <c r="B202" s="6" t="s">
        <v>135</v>
      </c>
      <c r="C202" s="6" t="s">
        <v>418</v>
      </c>
      <c r="D202" s="6" t="s">
        <v>419</v>
      </c>
      <c r="E202" s="6" t="s">
        <v>420</v>
      </c>
      <c r="F202" s="6" t="s">
        <v>719</v>
      </c>
    </row>
    <row r="203" customFormat="false" ht="15" hidden="false" customHeight="true" outlineLevel="0" collapsed="false">
      <c r="A203" s="8" t="s">
        <v>720</v>
      </c>
      <c r="B203" s="8" t="s">
        <v>135</v>
      </c>
      <c r="C203" s="8" t="s">
        <v>418</v>
      </c>
      <c r="D203" s="8" t="s">
        <v>419</v>
      </c>
      <c r="E203" s="8" t="s">
        <v>420</v>
      </c>
      <c r="F203" s="8" t="s">
        <v>721</v>
      </c>
    </row>
    <row r="204" customFormat="false" ht="15" hidden="false" customHeight="true" outlineLevel="0" collapsed="false">
      <c r="A204" s="6" t="s">
        <v>722</v>
      </c>
      <c r="B204" s="6" t="s">
        <v>133</v>
      </c>
      <c r="C204" s="6" t="s">
        <v>418</v>
      </c>
      <c r="D204" s="6" t="s">
        <v>419</v>
      </c>
      <c r="E204" s="6" t="s">
        <v>420</v>
      </c>
      <c r="F204" s="6" t="s">
        <v>723</v>
      </c>
    </row>
    <row r="205" customFormat="false" ht="15" hidden="false" customHeight="true" outlineLevel="0" collapsed="false">
      <c r="A205" s="8" t="s">
        <v>722</v>
      </c>
      <c r="B205" s="8" t="s">
        <v>133</v>
      </c>
      <c r="C205" s="8" t="s">
        <v>414</v>
      </c>
      <c r="D205" s="8" t="s">
        <v>422</v>
      </c>
      <c r="E205" s="8" t="s">
        <v>414</v>
      </c>
      <c r="F205" s="8" t="s">
        <v>724</v>
      </c>
    </row>
    <row r="206" customFormat="false" ht="15" hidden="false" customHeight="true" outlineLevel="0" collapsed="false">
      <c r="A206" s="6" t="s">
        <v>722</v>
      </c>
      <c r="B206" s="6" t="s">
        <v>133</v>
      </c>
      <c r="C206" s="6" t="s">
        <v>414</v>
      </c>
      <c r="D206" s="6" t="s">
        <v>419</v>
      </c>
      <c r="E206" s="6" t="s">
        <v>420</v>
      </c>
      <c r="F206" s="6" t="s">
        <v>725</v>
      </c>
    </row>
    <row r="207" customFormat="false" ht="15" hidden="false" customHeight="true" outlineLevel="0" collapsed="false">
      <c r="A207" s="8" t="s">
        <v>222</v>
      </c>
      <c r="B207" s="8" t="s">
        <v>135</v>
      </c>
      <c r="C207" s="8" t="s">
        <v>418</v>
      </c>
      <c r="D207" s="8" t="s">
        <v>419</v>
      </c>
      <c r="E207" s="8" t="s">
        <v>420</v>
      </c>
      <c r="F207" s="8" t="s">
        <v>726</v>
      </c>
    </row>
    <row r="208" customFormat="false" ht="15" hidden="false" customHeight="true" outlineLevel="0" collapsed="false">
      <c r="A208" s="6" t="s">
        <v>727</v>
      </c>
      <c r="B208" s="6" t="s">
        <v>135</v>
      </c>
      <c r="C208" s="6" t="s">
        <v>414</v>
      </c>
      <c r="D208" s="6" t="s">
        <v>422</v>
      </c>
      <c r="E208" s="6" t="s">
        <v>414</v>
      </c>
      <c r="F208" s="6" t="s">
        <v>728</v>
      </c>
    </row>
    <row r="209" customFormat="false" ht="15" hidden="false" customHeight="true" outlineLevel="0" collapsed="false">
      <c r="A209" s="8" t="s">
        <v>727</v>
      </c>
      <c r="B209" s="8" t="s">
        <v>135</v>
      </c>
      <c r="C209" s="8" t="s">
        <v>414</v>
      </c>
      <c r="D209" s="8" t="s">
        <v>419</v>
      </c>
      <c r="E209" s="8" t="s">
        <v>420</v>
      </c>
      <c r="F209" s="8" t="s">
        <v>729</v>
      </c>
    </row>
    <row r="210" customFormat="false" ht="15" hidden="false" customHeight="true" outlineLevel="0" collapsed="false">
      <c r="A210" s="6" t="s">
        <v>730</v>
      </c>
      <c r="B210" s="6" t="s">
        <v>135</v>
      </c>
      <c r="C210" s="6" t="s">
        <v>418</v>
      </c>
      <c r="D210" s="6" t="s">
        <v>419</v>
      </c>
      <c r="E210" s="6" t="s">
        <v>420</v>
      </c>
      <c r="F210" s="6" t="s">
        <v>731</v>
      </c>
    </row>
    <row r="211" customFormat="false" ht="15" hidden="false" customHeight="true" outlineLevel="0" collapsed="false">
      <c r="A211" s="8" t="s">
        <v>732</v>
      </c>
      <c r="B211" s="8" t="s">
        <v>134</v>
      </c>
      <c r="C211" s="8" t="s">
        <v>426</v>
      </c>
      <c r="D211" s="8" t="s">
        <v>427</v>
      </c>
      <c r="E211" s="8" t="s">
        <v>428</v>
      </c>
      <c r="F211" s="8" t="s">
        <v>733</v>
      </c>
    </row>
    <row r="212" customFormat="false" ht="15" hidden="false" customHeight="true" outlineLevel="0" collapsed="false">
      <c r="A212" s="6" t="s">
        <v>734</v>
      </c>
      <c r="B212" s="6" t="s">
        <v>42</v>
      </c>
      <c r="C212" s="6" t="s">
        <v>426</v>
      </c>
      <c r="D212" s="6" t="s">
        <v>427</v>
      </c>
      <c r="E212" s="6" t="s">
        <v>428</v>
      </c>
      <c r="F212" s="6" t="s">
        <v>735</v>
      </c>
    </row>
    <row r="213" customFormat="false" ht="15" hidden="false" customHeight="true" outlineLevel="0" collapsed="false">
      <c r="A213" s="8" t="s">
        <v>734</v>
      </c>
      <c r="B213" s="8" t="s">
        <v>134</v>
      </c>
      <c r="C213" s="8" t="s">
        <v>426</v>
      </c>
      <c r="D213" s="8" t="s">
        <v>427</v>
      </c>
      <c r="E213" s="8" t="s">
        <v>428</v>
      </c>
      <c r="F213" s="8" t="s">
        <v>736</v>
      </c>
    </row>
    <row r="214" customFormat="false" ht="15" hidden="false" customHeight="true" outlineLevel="0" collapsed="false">
      <c r="A214" s="6" t="s">
        <v>737</v>
      </c>
      <c r="B214" s="6" t="s">
        <v>135</v>
      </c>
      <c r="C214" s="6" t="s">
        <v>418</v>
      </c>
      <c r="D214" s="6" t="s">
        <v>419</v>
      </c>
      <c r="E214" s="6" t="s">
        <v>420</v>
      </c>
      <c r="F214" s="6" t="s">
        <v>738</v>
      </c>
    </row>
    <row r="215" customFormat="false" ht="15" hidden="false" customHeight="true" outlineLevel="0" collapsed="false">
      <c r="A215" s="8" t="s">
        <v>737</v>
      </c>
      <c r="B215" s="8" t="s">
        <v>135</v>
      </c>
      <c r="C215" s="8" t="s">
        <v>414</v>
      </c>
      <c r="D215" s="8" t="s">
        <v>422</v>
      </c>
      <c r="E215" s="8" t="s">
        <v>414</v>
      </c>
      <c r="F215" s="8" t="s">
        <v>739</v>
      </c>
    </row>
    <row r="216" customFormat="false" ht="15" hidden="false" customHeight="true" outlineLevel="0" collapsed="false">
      <c r="A216" s="6" t="s">
        <v>737</v>
      </c>
      <c r="B216" s="6" t="s">
        <v>135</v>
      </c>
      <c r="C216" s="6" t="s">
        <v>414</v>
      </c>
      <c r="D216" s="6" t="s">
        <v>419</v>
      </c>
      <c r="E216" s="6" t="s">
        <v>420</v>
      </c>
      <c r="F216" s="6" t="s">
        <v>740</v>
      </c>
    </row>
    <row r="217" customFormat="false" ht="15" hidden="false" customHeight="true" outlineLevel="0" collapsed="false">
      <c r="A217" s="8" t="s">
        <v>741</v>
      </c>
      <c r="B217" s="8" t="s">
        <v>42</v>
      </c>
      <c r="C217" s="8" t="s">
        <v>418</v>
      </c>
      <c r="D217" s="8" t="s">
        <v>419</v>
      </c>
      <c r="E217" s="8" t="s">
        <v>420</v>
      </c>
      <c r="F217" s="8" t="s">
        <v>742</v>
      </c>
    </row>
    <row r="218" customFormat="false" ht="15" hidden="false" customHeight="true" outlineLevel="0" collapsed="false">
      <c r="A218" s="6" t="s">
        <v>741</v>
      </c>
      <c r="B218" s="6" t="s">
        <v>42</v>
      </c>
      <c r="C218" s="6" t="s">
        <v>414</v>
      </c>
      <c r="D218" s="6" t="s">
        <v>422</v>
      </c>
      <c r="E218" s="6" t="s">
        <v>414</v>
      </c>
      <c r="F218" s="6" t="s">
        <v>743</v>
      </c>
    </row>
    <row r="219" customFormat="false" ht="15" hidden="false" customHeight="true" outlineLevel="0" collapsed="false">
      <c r="A219" s="8" t="s">
        <v>741</v>
      </c>
      <c r="B219" s="8" t="s">
        <v>42</v>
      </c>
      <c r="C219" s="8" t="s">
        <v>414</v>
      </c>
      <c r="D219" s="8" t="s">
        <v>419</v>
      </c>
      <c r="E219" s="8" t="s">
        <v>420</v>
      </c>
      <c r="F219" s="8" t="s">
        <v>744</v>
      </c>
    </row>
    <row r="220" customFormat="false" ht="15" hidden="false" customHeight="true" outlineLevel="0" collapsed="false">
      <c r="A220" s="6" t="s">
        <v>745</v>
      </c>
      <c r="B220" s="6" t="s">
        <v>42</v>
      </c>
      <c r="C220" s="6" t="s">
        <v>418</v>
      </c>
      <c r="D220" s="6" t="s">
        <v>419</v>
      </c>
      <c r="E220" s="6" t="s">
        <v>420</v>
      </c>
      <c r="F220" s="6" t="s">
        <v>746</v>
      </c>
    </row>
    <row r="221" customFormat="false" ht="15" hidden="false" customHeight="true" outlineLevel="0" collapsed="false">
      <c r="A221" s="8" t="s">
        <v>747</v>
      </c>
      <c r="B221" s="8" t="s">
        <v>42</v>
      </c>
      <c r="C221" s="8" t="s">
        <v>418</v>
      </c>
      <c r="D221" s="8" t="s">
        <v>419</v>
      </c>
      <c r="E221" s="8" t="s">
        <v>420</v>
      </c>
      <c r="F221" s="8" t="s">
        <v>748</v>
      </c>
    </row>
    <row r="222" customFormat="false" ht="15" hidden="false" customHeight="true" outlineLevel="0" collapsed="false">
      <c r="A222" s="6" t="s">
        <v>238</v>
      </c>
      <c r="B222" s="6" t="s">
        <v>134</v>
      </c>
      <c r="C222" s="6" t="s">
        <v>418</v>
      </c>
      <c r="D222" s="6" t="s">
        <v>419</v>
      </c>
      <c r="E222" s="6" t="s">
        <v>420</v>
      </c>
      <c r="F222" s="6" t="s">
        <v>749</v>
      </c>
    </row>
    <row r="223" customFormat="false" ht="15" hidden="false" customHeight="true" outlineLevel="0" collapsed="false">
      <c r="A223" s="8" t="s">
        <v>238</v>
      </c>
      <c r="B223" s="8" t="s">
        <v>134</v>
      </c>
      <c r="C223" s="8" t="s">
        <v>414</v>
      </c>
      <c r="D223" s="8" t="s">
        <v>422</v>
      </c>
      <c r="E223" s="8" t="s">
        <v>414</v>
      </c>
      <c r="F223" s="8" t="s">
        <v>750</v>
      </c>
    </row>
    <row r="224" customFormat="false" ht="15" hidden="false" customHeight="true" outlineLevel="0" collapsed="false">
      <c r="A224" s="6" t="s">
        <v>238</v>
      </c>
      <c r="B224" s="6" t="s">
        <v>134</v>
      </c>
      <c r="C224" s="6" t="s">
        <v>414</v>
      </c>
      <c r="D224" s="6" t="s">
        <v>419</v>
      </c>
      <c r="E224" s="6" t="s">
        <v>420</v>
      </c>
      <c r="F224" s="6" t="s">
        <v>751</v>
      </c>
    </row>
    <row r="225" customFormat="false" ht="15" hidden="false" customHeight="true" outlineLevel="0" collapsed="false">
      <c r="A225" s="8" t="s">
        <v>242</v>
      </c>
      <c r="B225" s="8" t="s">
        <v>135</v>
      </c>
      <c r="C225" s="8" t="s">
        <v>418</v>
      </c>
      <c r="D225" s="8" t="s">
        <v>419</v>
      </c>
      <c r="E225" s="8" t="s">
        <v>420</v>
      </c>
      <c r="F225" s="8" t="s">
        <v>752</v>
      </c>
    </row>
    <row r="226" customFormat="false" ht="15" hidden="false" customHeight="true" outlineLevel="0" collapsed="false">
      <c r="A226" s="6" t="s">
        <v>242</v>
      </c>
      <c r="B226" s="6" t="s">
        <v>135</v>
      </c>
      <c r="C226" s="6" t="s">
        <v>414</v>
      </c>
      <c r="D226" s="6" t="s">
        <v>422</v>
      </c>
      <c r="E226" s="6" t="s">
        <v>414</v>
      </c>
      <c r="F226" s="6" t="s">
        <v>753</v>
      </c>
    </row>
    <row r="227" customFormat="false" ht="15" hidden="false" customHeight="true" outlineLevel="0" collapsed="false">
      <c r="A227" s="8" t="s">
        <v>242</v>
      </c>
      <c r="B227" s="8" t="s">
        <v>135</v>
      </c>
      <c r="C227" s="8" t="s">
        <v>414</v>
      </c>
      <c r="D227" s="8" t="s">
        <v>419</v>
      </c>
      <c r="E227" s="8" t="s">
        <v>420</v>
      </c>
      <c r="F227" s="8" t="s">
        <v>754</v>
      </c>
    </row>
    <row r="228" customFormat="false" ht="15" hidden="false" customHeight="true" outlineLevel="0" collapsed="false">
      <c r="A228" s="6" t="s">
        <v>755</v>
      </c>
      <c r="B228" s="6" t="s">
        <v>134</v>
      </c>
      <c r="C228" s="6" t="s">
        <v>418</v>
      </c>
      <c r="D228" s="6" t="s">
        <v>419</v>
      </c>
      <c r="E228" s="6" t="s">
        <v>420</v>
      </c>
      <c r="F228" s="6" t="s">
        <v>756</v>
      </c>
    </row>
    <row r="229" customFormat="false" ht="15" hidden="false" customHeight="true" outlineLevel="0" collapsed="false">
      <c r="A229" s="8" t="s">
        <v>755</v>
      </c>
      <c r="B229" s="8" t="s">
        <v>134</v>
      </c>
      <c r="C229" s="8" t="s">
        <v>414</v>
      </c>
      <c r="D229" s="8" t="s">
        <v>422</v>
      </c>
      <c r="E229" s="8" t="s">
        <v>414</v>
      </c>
      <c r="F229" s="8" t="s">
        <v>757</v>
      </c>
    </row>
    <row r="230" customFormat="false" ht="15" hidden="false" customHeight="true" outlineLevel="0" collapsed="false">
      <c r="A230" s="6" t="s">
        <v>755</v>
      </c>
      <c r="B230" s="6" t="s">
        <v>134</v>
      </c>
      <c r="C230" s="6" t="s">
        <v>414</v>
      </c>
      <c r="D230" s="6" t="s">
        <v>419</v>
      </c>
      <c r="E230" s="6" t="s">
        <v>420</v>
      </c>
      <c r="F230" s="6" t="s">
        <v>758</v>
      </c>
    </row>
    <row r="231" customFormat="false" ht="15" hidden="false" customHeight="true" outlineLevel="0" collapsed="false">
      <c r="A231" s="8" t="s">
        <v>759</v>
      </c>
      <c r="B231" s="8" t="s">
        <v>133</v>
      </c>
      <c r="C231" s="8" t="s">
        <v>418</v>
      </c>
      <c r="D231" s="8" t="s">
        <v>419</v>
      </c>
      <c r="E231" s="8" t="s">
        <v>420</v>
      </c>
      <c r="F231" s="8" t="s">
        <v>760</v>
      </c>
    </row>
    <row r="232" customFormat="false" ht="15" hidden="false" customHeight="true" outlineLevel="0" collapsed="false">
      <c r="A232" s="6" t="s">
        <v>759</v>
      </c>
      <c r="B232" s="6" t="s">
        <v>133</v>
      </c>
      <c r="C232" s="6" t="s">
        <v>414</v>
      </c>
      <c r="D232" s="6" t="s">
        <v>422</v>
      </c>
      <c r="E232" s="6" t="s">
        <v>414</v>
      </c>
      <c r="F232" s="6" t="s">
        <v>761</v>
      </c>
    </row>
    <row r="233" customFormat="false" ht="15" hidden="false" customHeight="true" outlineLevel="0" collapsed="false">
      <c r="A233" s="8" t="s">
        <v>759</v>
      </c>
      <c r="B233" s="8" t="s">
        <v>133</v>
      </c>
      <c r="C233" s="8" t="s">
        <v>414</v>
      </c>
      <c r="D233" s="8" t="s">
        <v>419</v>
      </c>
      <c r="E233" s="8" t="s">
        <v>420</v>
      </c>
      <c r="F233" s="8" t="s">
        <v>762</v>
      </c>
    </row>
    <row r="234" customFormat="false" ht="15" hidden="false" customHeight="true" outlineLevel="0" collapsed="false">
      <c r="A234" s="6" t="s">
        <v>250</v>
      </c>
      <c r="B234" s="6" t="s">
        <v>135</v>
      </c>
      <c r="C234" s="6" t="s">
        <v>418</v>
      </c>
      <c r="D234" s="6" t="s">
        <v>419</v>
      </c>
      <c r="E234" s="6" t="s">
        <v>420</v>
      </c>
      <c r="F234" s="6" t="s">
        <v>763</v>
      </c>
    </row>
    <row r="235" customFormat="false" ht="15" hidden="false" customHeight="true" outlineLevel="0" collapsed="false">
      <c r="A235" s="8" t="s">
        <v>250</v>
      </c>
      <c r="B235" s="8" t="s">
        <v>134</v>
      </c>
      <c r="C235" s="8" t="s">
        <v>418</v>
      </c>
      <c r="D235" s="8" t="s">
        <v>419</v>
      </c>
      <c r="E235" s="8" t="s">
        <v>420</v>
      </c>
      <c r="F235" s="8" t="s">
        <v>764</v>
      </c>
    </row>
    <row r="236" customFormat="false" ht="15" hidden="false" customHeight="true" outlineLevel="0" collapsed="false">
      <c r="A236" s="6" t="s">
        <v>250</v>
      </c>
      <c r="B236" s="6" t="s">
        <v>134</v>
      </c>
      <c r="C236" s="6" t="s">
        <v>414</v>
      </c>
      <c r="D236" s="6" t="s">
        <v>422</v>
      </c>
      <c r="E236" s="6" t="s">
        <v>414</v>
      </c>
      <c r="F236" s="6" t="s">
        <v>765</v>
      </c>
    </row>
    <row r="237" customFormat="false" ht="15" hidden="false" customHeight="true" outlineLevel="0" collapsed="false">
      <c r="A237" s="8" t="s">
        <v>250</v>
      </c>
      <c r="B237" s="8" t="s">
        <v>134</v>
      </c>
      <c r="C237" s="8" t="s">
        <v>414</v>
      </c>
      <c r="D237" s="8" t="s">
        <v>419</v>
      </c>
      <c r="E237" s="8" t="s">
        <v>420</v>
      </c>
      <c r="F237" s="8" t="s">
        <v>766</v>
      </c>
    </row>
    <row r="238" customFormat="false" ht="15" hidden="false" customHeight="true" outlineLevel="0" collapsed="false">
      <c r="A238" s="6" t="s">
        <v>767</v>
      </c>
      <c r="B238" s="6" t="s">
        <v>133</v>
      </c>
      <c r="C238" s="6" t="s">
        <v>418</v>
      </c>
      <c r="D238" s="6" t="s">
        <v>419</v>
      </c>
      <c r="E238" s="6" t="s">
        <v>420</v>
      </c>
      <c r="F238" s="6" t="s">
        <v>768</v>
      </c>
    </row>
    <row r="239" customFormat="false" ht="15" hidden="false" customHeight="true" outlineLevel="0" collapsed="false">
      <c r="A239" s="8" t="s">
        <v>767</v>
      </c>
      <c r="B239" s="8" t="s">
        <v>133</v>
      </c>
      <c r="C239" s="8" t="s">
        <v>418</v>
      </c>
      <c r="D239" s="8" t="s">
        <v>419</v>
      </c>
      <c r="E239" s="8" t="s">
        <v>420</v>
      </c>
      <c r="F239" s="8" t="s">
        <v>769</v>
      </c>
    </row>
    <row r="240" customFormat="false" ht="15" hidden="false" customHeight="true" outlineLevel="0" collapsed="false">
      <c r="A240" s="6" t="s">
        <v>767</v>
      </c>
      <c r="B240" s="6" t="s">
        <v>135</v>
      </c>
      <c r="C240" s="6" t="s">
        <v>414</v>
      </c>
      <c r="D240" s="6" t="s">
        <v>422</v>
      </c>
      <c r="E240" s="6" t="s">
        <v>414</v>
      </c>
      <c r="F240" s="6" t="s">
        <v>770</v>
      </c>
    </row>
    <row r="241" customFormat="false" ht="15" hidden="false" customHeight="true" outlineLevel="0" collapsed="false">
      <c r="A241" s="8" t="s">
        <v>767</v>
      </c>
      <c r="B241" s="8" t="s">
        <v>135</v>
      </c>
      <c r="C241" s="8" t="s">
        <v>414</v>
      </c>
      <c r="D241" s="8" t="s">
        <v>419</v>
      </c>
      <c r="E241" s="8" t="s">
        <v>420</v>
      </c>
      <c r="F241" s="8" t="s">
        <v>771</v>
      </c>
    </row>
    <row r="242" customFormat="false" ht="15" hidden="false" customHeight="true" outlineLevel="0" collapsed="false">
      <c r="A242" s="6" t="s">
        <v>772</v>
      </c>
      <c r="B242" s="6" t="s">
        <v>42</v>
      </c>
      <c r="C242" s="6" t="s">
        <v>418</v>
      </c>
      <c r="D242" s="6" t="s">
        <v>419</v>
      </c>
      <c r="E242" s="6" t="s">
        <v>420</v>
      </c>
      <c r="F242" s="6" t="s">
        <v>773</v>
      </c>
    </row>
    <row r="243" customFormat="false" ht="15" hidden="false" customHeight="true" outlineLevel="0" collapsed="false">
      <c r="A243" s="8" t="s">
        <v>772</v>
      </c>
      <c r="B243" s="8" t="s">
        <v>42</v>
      </c>
      <c r="C243" s="8" t="s">
        <v>414</v>
      </c>
      <c r="D243" s="8" t="s">
        <v>422</v>
      </c>
      <c r="E243" s="8" t="s">
        <v>414</v>
      </c>
      <c r="F243" s="8" t="s">
        <v>774</v>
      </c>
    </row>
    <row r="244" customFormat="false" ht="15" hidden="false" customHeight="true" outlineLevel="0" collapsed="false">
      <c r="A244" s="6" t="s">
        <v>772</v>
      </c>
      <c r="B244" s="6" t="s">
        <v>42</v>
      </c>
      <c r="C244" s="6" t="s">
        <v>414</v>
      </c>
      <c r="D244" s="6" t="s">
        <v>419</v>
      </c>
      <c r="E244" s="6" t="s">
        <v>420</v>
      </c>
      <c r="F244" s="6" t="s">
        <v>775</v>
      </c>
    </row>
    <row r="245" customFormat="false" ht="15" hidden="false" customHeight="true" outlineLevel="0" collapsed="false">
      <c r="A245" s="8" t="s">
        <v>776</v>
      </c>
      <c r="B245" s="8" t="s">
        <v>133</v>
      </c>
      <c r="C245" s="8" t="s">
        <v>414</v>
      </c>
      <c r="D245" s="8" t="s">
        <v>422</v>
      </c>
      <c r="E245" s="8" t="s">
        <v>414</v>
      </c>
      <c r="F245" s="8" t="s">
        <v>777</v>
      </c>
    </row>
    <row r="246" customFormat="false" ht="15" hidden="false" customHeight="true" outlineLevel="0" collapsed="false">
      <c r="A246" s="6" t="s">
        <v>776</v>
      </c>
      <c r="B246" s="6" t="s">
        <v>133</v>
      </c>
      <c r="C246" s="6" t="s">
        <v>414</v>
      </c>
      <c r="D246" s="6" t="s">
        <v>419</v>
      </c>
      <c r="E246" s="6" t="s">
        <v>420</v>
      </c>
      <c r="F246" s="6" t="s">
        <v>778</v>
      </c>
    </row>
    <row r="247" customFormat="false" ht="15" hidden="false" customHeight="true" outlineLevel="0" collapsed="false">
      <c r="A247" s="8" t="s">
        <v>779</v>
      </c>
      <c r="B247" s="8" t="s">
        <v>135</v>
      </c>
      <c r="C247" s="8" t="s">
        <v>418</v>
      </c>
      <c r="D247" s="8" t="s">
        <v>419</v>
      </c>
      <c r="E247" s="8" t="s">
        <v>420</v>
      </c>
      <c r="F247" s="8" t="s">
        <v>780</v>
      </c>
    </row>
    <row r="248" customFormat="false" ht="15" hidden="false" customHeight="true" outlineLevel="0" collapsed="false">
      <c r="A248" s="6" t="s">
        <v>781</v>
      </c>
      <c r="B248" s="6" t="s">
        <v>133</v>
      </c>
      <c r="C248" s="6" t="s">
        <v>437</v>
      </c>
      <c r="D248" s="6" t="s">
        <v>438</v>
      </c>
      <c r="E248" s="6"/>
      <c r="F248" s="6" t="s">
        <v>782</v>
      </c>
    </row>
    <row r="249" customFormat="false" ht="15" hidden="false" customHeight="true" outlineLevel="0" collapsed="false">
      <c r="A249" s="8" t="s">
        <v>783</v>
      </c>
      <c r="B249" s="8" t="s">
        <v>133</v>
      </c>
      <c r="C249" s="8" t="s">
        <v>437</v>
      </c>
      <c r="D249" s="8" t="s">
        <v>428</v>
      </c>
      <c r="E249" s="8" t="s">
        <v>428</v>
      </c>
      <c r="F249" s="8" t="s">
        <v>784</v>
      </c>
    </row>
    <row r="250" customFormat="false" ht="15" hidden="false" customHeight="true" outlineLevel="0" collapsed="false">
      <c r="A250" s="6" t="s">
        <v>785</v>
      </c>
      <c r="B250" s="6" t="s">
        <v>133</v>
      </c>
      <c r="C250" s="6" t="s">
        <v>437</v>
      </c>
      <c r="D250" s="6" t="s">
        <v>438</v>
      </c>
      <c r="E250" s="6"/>
      <c r="F250" s="6" t="s">
        <v>786</v>
      </c>
    </row>
    <row r="251" customFormat="false" ht="15" hidden="false" customHeight="true" outlineLevel="0" collapsed="false">
      <c r="A251" s="8" t="s">
        <v>787</v>
      </c>
      <c r="B251" s="8" t="s">
        <v>133</v>
      </c>
      <c r="C251" s="8" t="s">
        <v>437</v>
      </c>
      <c r="D251" s="8" t="s">
        <v>428</v>
      </c>
      <c r="E251" s="8" t="s">
        <v>428</v>
      </c>
      <c r="F251" s="8" t="s">
        <v>784</v>
      </c>
    </row>
    <row r="252" customFormat="false" ht="15" hidden="false" customHeight="true" outlineLevel="0" collapsed="false">
      <c r="A252" s="6" t="s">
        <v>787</v>
      </c>
      <c r="B252" s="6" t="s">
        <v>134</v>
      </c>
      <c r="C252" s="6" t="s">
        <v>418</v>
      </c>
      <c r="D252" s="6" t="s">
        <v>419</v>
      </c>
      <c r="E252" s="6" t="s">
        <v>420</v>
      </c>
      <c r="F252" s="6" t="s">
        <v>788</v>
      </c>
    </row>
    <row r="253" customFormat="false" ht="15" hidden="false" customHeight="true" outlineLevel="0" collapsed="false">
      <c r="A253" s="8" t="s">
        <v>787</v>
      </c>
      <c r="B253" s="8" t="s">
        <v>134</v>
      </c>
      <c r="C253" s="8" t="s">
        <v>414</v>
      </c>
      <c r="D253" s="8" t="s">
        <v>422</v>
      </c>
      <c r="E253" s="8" t="s">
        <v>414</v>
      </c>
      <c r="F253" s="8" t="s">
        <v>789</v>
      </c>
    </row>
    <row r="254" customFormat="false" ht="15" hidden="false" customHeight="true" outlineLevel="0" collapsed="false">
      <c r="A254" s="6" t="s">
        <v>787</v>
      </c>
      <c r="B254" s="6" t="s">
        <v>134</v>
      </c>
      <c r="C254" s="6" t="s">
        <v>414</v>
      </c>
      <c r="D254" s="6" t="s">
        <v>419</v>
      </c>
      <c r="E254" s="6" t="s">
        <v>420</v>
      </c>
      <c r="F254" s="6" t="s">
        <v>790</v>
      </c>
    </row>
    <row r="255" customFormat="false" ht="15" hidden="false" customHeight="true" outlineLevel="0" collapsed="false">
      <c r="A255" s="8" t="s">
        <v>791</v>
      </c>
      <c r="B255" s="8" t="s">
        <v>133</v>
      </c>
      <c r="C255" s="8" t="s">
        <v>418</v>
      </c>
      <c r="D255" s="8" t="s">
        <v>419</v>
      </c>
      <c r="E255" s="8" t="s">
        <v>420</v>
      </c>
      <c r="F255" s="8" t="s">
        <v>792</v>
      </c>
    </row>
    <row r="256" customFormat="false" ht="15" hidden="false" customHeight="true" outlineLevel="0" collapsed="false">
      <c r="A256" s="6" t="s">
        <v>791</v>
      </c>
      <c r="B256" s="6" t="s">
        <v>133</v>
      </c>
      <c r="C256" s="6" t="s">
        <v>414</v>
      </c>
      <c r="D256" s="6" t="s">
        <v>422</v>
      </c>
      <c r="E256" s="6" t="s">
        <v>414</v>
      </c>
      <c r="F256" s="6" t="s">
        <v>793</v>
      </c>
    </row>
    <row r="257" customFormat="false" ht="15" hidden="false" customHeight="true" outlineLevel="0" collapsed="false">
      <c r="A257" s="8" t="s">
        <v>791</v>
      </c>
      <c r="B257" s="8" t="s">
        <v>133</v>
      </c>
      <c r="C257" s="8" t="s">
        <v>414</v>
      </c>
      <c r="D257" s="8" t="s">
        <v>419</v>
      </c>
      <c r="E257" s="8" t="s">
        <v>420</v>
      </c>
      <c r="F257" s="8" t="s">
        <v>794</v>
      </c>
    </row>
    <row r="258" customFormat="false" ht="15" hidden="false" customHeight="true" outlineLevel="0" collapsed="false">
      <c r="A258" s="6" t="s">
        <v>791</v>
      </c>
      <c r="B258" s="6" t="s">
        <v>134</v>
      </c>
      <c r="C258" s="6" t="s">
        <v>418</v>
      </c>
      <c r="D258" s="6" t="s">
        <v>419</v>
      </c>
      <c r="E258" s="6" t="s">
        <v>420</v>
      </c>
      <c r="F258" s="6" t="s">
        <v>795</v>
      </c>
    </row>
    <row r="259" customFormat="false" ht="15" hidden="false" customHeight="true" outlineLevel="0" collapsed="false">
      <c r="A259" s="8" t="s">
        <v>791</v>
      </c>
      <c r="B259" s="8" t="s">
        <v>134</v>
      </c>
      <c r="C259" s="8" t="s">
        <v>414</v>
      </c>
      <c r="D259" s="8" t="s">
        <v>422</v>
      </c>
      <c r="E259" s="8" t="s">
        <v>414</v>
      </c>
      <c r="F259" s="8" t="s">
        <v>796</v>
      </c>
    </row>
    <row r="260" customFormat="false" ht="15" hidden="false" customHeight="true" outlineLevel="0" collapsed="false">
      <c r="A260" s="6" t="s">
        <v>791</v>
      </c>
      <c r="B260" s="6" t="s">
        <v>134</v>
      </c>
      <c r="C260" s="6" t="s">
        <v>414</v>
      </c>
      <c r="D260" s="6" t="s">
        <v>419</v>
      </c>
      <c r="E260" s="6" t="s">
        <v>420</v>
      </c>
      <c r="F260" s="6" t="s">
        <v>797</v>
      </c>
    </row>
    <row r="261" customFormat="false" ht="15" hidden="false" customHeight="true" outlineLevel="0" collapsed="false">
      <c r="A261" s="8" t="s">
        <v>798</v>
      </c>
      <c r="B261" s="8" t="s">
        <v>134</v>
      </c>
      <c r="C261" s="8" t="s">
        <v>418</v>
      </c>
      <c r="D261" s="8" t="s">
        <v>419</v>
      </c>
      <c r="E261" s="8" t="s">
        <v>420</v>
      </c>
      <c r="F261" s="8" t="s">
        <v>799</v>
      </c>
    </row>
    <row r="262" customFormat="false" ht="15" hidden="false" customHeight="true" outlineLevel="0" collapsed="false">
      <c r="A262" s="6" t="s">
        <v>800</v>
      </c>
      <c r="B262" s="6" t="s">
        <v>134</v>
      </c>
      <c r="C262" s="6" t="s">
        <v>437</v>
      </c>
      <c r="D262" s="6" t="s">
        <v>438</v>
      </c>
      <c r="E262" s="6"/>
      <c r="F262" s="6" t="s">
        <v>801</v>
      </c>
    </row>
    <row r="263" customFormat="false" ht="15" hidden="false" customHeight="true" outlineLevel="0" collapsed="false">
      <c r="A263" s="8" t="s">
        <v>802</v>
      </c>
      <c r="B263" s="8" t="s">
        <v>134</v>
      </c>
      <c r="C263" s="8" t="s">
        <v>437</v>
      </c>
      <c r="D263" s="8" t="s">
        <v>428</v>
      </c>
      <c r="E263" s="8" t="s">
        <v>428</v>
      </c>
      <c r="F263" s="8" t="s">
        <v>803</v>
      </c>
    </row>
    <row r="264" customFormat="false" ht="15" hidden="false" customHeight="true" outlineLevel="0" collapsed="false">
      <c r="A264" s="6" t="s">
        <v>802</v>
      </c>
      <c r="B264" s="6" t="s">
        <v>134</v>
      </c>
      <c r="C264" s="6" t="s">
        <v>437</v>
      </c>
      <c r="D264" s="6" t="s">
        <v>438</v>
      </c>
      <c r="E264" s="6"/>
      <c r="F264" s="6" t="s">
        <v>804</v>
      </c>
    </row>
    <row r="265" customFormat="false" ht="15" hidden="false" customHeight="true" outlineLevel="0" collapsed="false">
      <c r="A265" s="8" t="s">
        <v>805</v>
      </c>
      <c r="B265" s="8" t="s">
        <v>134</v>
      </c>
      <c r="C265" s="8" t="s">
        <v>437</v>
      </c>
      <c r="D265" s="8" t="s">
        <v>428</v>
      </c>
      <c r="E265" s="8" t="s">
        <v>428</v>
      </c>
      <c r="F265" s="8" t="s">
        <v>806</v>
      </c>
    </row>
    <row r="266" customFormat="false" ht="15" hidden="false" customHeight="true" outlineLevel="0" collapsed="false">
      <c r="A266" s="6" t="s">
        <v>807</v>
      </c>
      <c r="B266" s="6" t="s">
        <v>134</v>
      </c>
      <c r="C266" s="6" t="s">
        <v>437</v>
      </c>
      <c r="D266" s="6" t="s">
        <v>438</v>
      </c>
      <c r="E266" s="6"/>
      <c r="F266" s="6" t="s">
        <v>808</v>
      </c>
    </row>
    <row r="267" customFormat="false" ht="15" hidden="false" customHeight="true" outlineLevel="0" collapsed="false">
      <c r="A267" s="8" t="s">
        <v>809</v>
      </c>
      <c r="B267" s="8" t="s">
        <v>134</v>
      </c>
      <c r="C267" s="8" t="s">
        <v>437</v>
      </c>
      <c r="D267" s="8" t="s">
        <v>428</v>
      </c>
      <c r="E267" s="8" t="s">
        <v>428</v>
      </c>
      <c r="F267" s="8" t="s">
        <v>810</v>
      </c>
    </row>
    <row r="268" customFormat="false" ht="15" hidden="false" customHeight="true" outlineLevel="0" collapsed="false">
      <c r="A268" s="6" t="s">
        <v>380</v>
      </c>
      <c r="B268" s="6" t="s">
        <v>134</v>
      </c>
      <c r="C268" s="6" t="s">
        <v>437</v>
      </c>
      <c r="D268" s="6" t="s">
        <v>438</v>
      </c>
      <c r="E268" s="6"/>
      <c r="F268" s="6" t="s">
        <v>811</v>
      </c>
    </row>
    <row r="269" customFormat="false" ht="15" hidden="false" customHeight="true" outlineLevel="0" collapsed="false">
      <c r="A269" s="8" t="s">
        <v>812</v>
      </c>
      <c r="B269" s="8" t="s">
        <v>134</v>
      </c>
      <c r="C269" s="8" t="s">
        <v>437</v>
      </c>
      <c r="D269" s="8" t="s">
        <v>428</v>
      </c>
      <c r="E269" s="8" t="s">
        <v>428</v>
      </c>
      <c r="F269" s="8" t="s">
        <v>813</v>
      </c>
    </row>
    <row r="270" customFormat="false" ht="15" hidden="false" customHeight="true" outlineLevel="0" collapsed="false">
      <c r="A270" s="6" t="s">
        <v>812</v>
      </c>
      <c r="B270" s="6" t="s">
        <v>134</v>
      </c>
      <c r="C270" s="6" t="s">
        <v>437</v>
      </c>
      <c r="D270" s="6" t="s">
        <v>438</v>
      </c>
      <c r="E270" s="6"/>
      <c r="F270" s="6" t="s">
        <v>814</v>
      </c>
    </row>
    <row r="271" customFormat="false" ht="15" hidden="false" customHeight="true" outlineLevel="0" collapsed="false">
      <c r="A271" s="8" t="s">
        <v>815</v>
      </c>
      <c r="B271" s="8" t="s">
        <v>134</v>
      </c>
      <c r="C271" s="8" t="s">
        <v>437</v>
      </c>
      <c r="D271" s="8" t="s">
        <v>428</v>
      </c>
      <c r="E271" s="8" t="s">
        <v>428</v>
      </c>
      <c r="F271" s="8" t="s">
        <v>816</v>
      </c>
    </row>
    <row r="272" customFormat="false" ht="15" hidden="false" customHeight="true" outlineLevel="0" collapsed="false">
      <c r="A272" s="6" t="s">
        <v>383</v>
      </c>
      <c r="B272" s="6" t="s">
        <v>134</v>
      </c>
      <c r="C272" s="6" t="s">
        <v>437</v>
      </c>
      <c r="D272" s="6" t="s">
        <v>438</v>
      </c>
      <c r="E272" s="6"/>
      <c r="F272" s="6" t="s">
        <v>817</v>
      </c>
    </row>
    <row r="273" customFormat="false" ht="15" hidden="false" customHeight="true" outlineLevel="0" collapsed="false">
      <c r="A273" s="8" t="s">
        <v>818</v>
      </c>
      <c r="B273" s="8" t="s">
        <v>134</v>
      </c>
      <c r="C273" s="8" t="s">
        <v>437</v>
      </c>
      <c r="D273" s="8" t="s">
        <v>428</v>
      </c>
      <c r="E273" s="8" t="s">
        <v>428</v>
      </c>
      <c r="F273" s="8" t="s">
        <v>803</v>
      </c>
    </row>
    <row r="274" customFormat="false" ht="15" hidden="false" customHeight="true" outlineLevel="0" collapsed="false">
      <c r="A274" s="6" t="s">
        <v>818</v>
      </c>
      <c r="B274" s="6" t="s">
        <v>134</v>
      </c>
      <c r="C274" s="6" t="s">
        <v>437</v>
      </c>
      <c r="D274" s="6" t="s">
        <v>438</v>
      </c>
      <c r="E274" s="6"/>
      <c r="F274" s="6" t="s">
        <v>819</v>
      </c>
    </row>
    <row r="275" customFormat="false" ht="15" hidden="false" customHeight="true" outlineLevel="0" collapsed="false">
      <c r="A275" s="8" t="s">
        <v>820</v>
      </c>
      <c r="B275" s="8" t="s">
        <v>134</v>
      </c>
      <c r="C275" s="8" t="s">
        <v>437</v>
      </c>
      <c r="D275" s="8" t="s">
        <v>428</v>
      </c>
      <c r="E275" s="8" t="s">
        <v>428</v>
      </c>
      <c r="F275" s="8" t="s">
        <v>816</v>
      </c>
    </row>
    <row r="276" customFormat="false" ht="15" hidden="false" customHeight="true" outlineLevel="0" collapsed="false">
      <c r="A276" s="6" t="s">
        <v>385</v>
      </c>
      <c r="B276" s="6" t="s">
        <v>134</v>
      </c>
      <c r="C276" s="6" t="s">
        <v>437</v>
      </c>
      <c r="D276" s="6" t="s">
        <v>438</v>
      </c>
      <c r="E276" s="6"/>
      <c r="F276" s="6" t="s">
        <v>821</v>
      </c>
    </row>
    <row r="277" customFormat="false" ht="15" hidden="false" customHeight="true" outlineLevel="0" collapsed="false">
      <c r="A277" s="8" t="s">
        <v>822</v>
      </c>
      <c r="B277" s="8" t="s">
        <v>134</v>
      </c>
      <c r="C277" s="8" t="s">
        <v>437</v>
      </c>
      <c r="D277" s="8" t="s">
        <v>428</v>
      </c>
      <c r="E277" s="8" t="s">
        <v>428</v>
      </c>
      <c r="F277" s="8" t="s">
        <v>816</v>
      </c>
    </row>
    <row r="278" customFormat="false" ht="15" hidden="false" customHeight="true" outlineLevel="0" collapsed="false">
      <c r="A278" s="6" t="s">
        <v>823</v>
      </c>
      <c r="B278" s="6" t="s">
        <v>133</v>
      </c>
      <c r="C278" s="6" t="s">
        <v>418</v>
      </c>
      <c r="D278" s="6" t="s">
        <v>419</v>
      </c>
      <c r="E278" s="6" t="s">
        <v>420</v>
      </c>
      <c r="F278" s="6" t="s">
        <v>824</v>
      </c>
    </row>
    <row r="279" customFormat="false" ht="15" hidden="false" customHeight="true" outlineLevel="0" collapsed="false">
      <c r="A279" s="8" t="s">
        <v>823</v>
      </c>
      <c r="B279" s="8" t="s">
        <v>133</v>
      </c>
      <c r="C279" s="8" t="s">
        <v>414</v>
      </c>
      <c r="D279" s="8" t="s">
        <v>422</v>
      </c>
      <c r="E279" s="8" t="s">
        <v>414</v>
      </c>
      <c r="F279" s="8" t="s">
        <v>825</v>
      </c>
    </row>
    <row r="280" customFormat="false" ht="15" hidden="false" customHeight="true" outlineLevel="0" collapsed="false">
      <c r="A280" s="6" t="s">
        <v>823</v>
      </c>
      <c r="B280" s="6" t="s">
        <v>133</v>
      </c>
      <c r="C280" s="6" t="s">
        <v>414</v>
      </c>
      <c r="D280" s="6" t="s">
        <v>419</v>
      </c>
      <c r="E280" s="6" t="s">
        <v>420</v>
      </c>
      <c r="F280" s="6" t="s">
        <v>826</v>
      </c>
    </row>
    <row r="281" customFormat="false" ht="15" hidden="false" customHeight="true" outlineLevel="0" collapsed="false">
      <c r="A281" s="8" t="s">
        <v>268</v>
      </c>
      <c r="B281" s="8" t="s">
        <v>135</v>
      </c>
      <c r="C281" s="8" t="s">
        <v>418</v>
      </c>
      <c r="D281" s="8" t="s">
        <v>419</v>
      </c>
      <c r="E281" s="8" t="s">
        <v>420</v>
      </c>
      <c r="F281" s="8" t="s">
        <v>827</v>
      </c>
    </row>
    <row r="282" customFormat="false" ht="15" hidden="false" customHeight="true" outlineLevel="0" collapsed="false">
      <c r="A282" s="6" t="s">
        <v>828</v>
      </c>
      <c r="B282" s="6" t="s">
        <v>135</v>
      </c>
      <c r="C282" s="6" t="s">
        <v>414</v>
      </c>
      <c r="D282" s="6" t="s">
        <v>422</v>
      </c>
      <c r="E282" s="6" t="s">
        <v>414</v>
      </c>
      <c r="F282" s="6" t="s">
        <v>829</v>
      </c>
    </row>
    <row r="283" customFormat="false" ht="15" hidden="false" customHeight="true" outlineLevel="0" collapsed="false">
      <c r="A283" s="8" t="s">
        <v>828</v>
      </c>
      <c r="B283" s="8" t="s">
        <v>135</v>
      </c>
      <c r="C283" s="8" t="s">
        <v>414</v>
      </c>
      <c r="D283" s="8" t="s">
        <v>419</v>
      </c>
      <c r="E283" s="8" t="s">
        <v>420</v>
      </c>
      <c r="F283" s="8" t="s">
        <v>830</v>
      </c>
    </row>
    <row r="284" customFormat="false" ht="15" hidden="false" customHeight="true" outlineLevel="0" collapsed="false">
      <c r="A284" s="6" t="s">
        <v>276</v>
      </c>
      <c r="B284" s="6" t="s">
        <v>134</v>
      </c>
      <c r="C284" s="6" t="s">
        <v>418</v>
      </c>
      <c r="D284" s="6" t="s">
        <v>419</v>
      </c>
      <c r="E284" s="6" t="s">
        <v>420</v>
      </c>
      <c r="F284" s="6" t="s">
        <v>831</v>
      </c>
    </row>
    <row r="285" customFormat="false" ht="15" hidden="false" customHeight="true" outlineLevel="0" collapsed="false">
      <c r="A285" s="8" t="s">
        <v>276</v>
      </c>
      <c r="B285" s="8" t="s">
        <v>134</v>
      </c>
      <c r="C285" s="8" t="s">
        <v>414</v>
      </c>
      <c r="D285" s="8" t="s">
        <v>422</v>
      </c>
      <c r="E285" s="8" t="s">
        <v>414</v>
      </c>
      <c r="F285" s="8" t="s">
        <v>832</v>
      </c>
    </row>
    <row r="286" customFormat="false" ht="15" hidden="false" customHeight="true" outlineLevel="0" collapsed="false">
      <c r="A286" s="6" t="s">
        <v>833</v>
      </c>
      <c r="B286" s="6" t="s">
        <v>134</v>
      </c>
      <c r="C286" s="6" t="s">
        <v>414</v>
      </c>
      <c r="D286" s="6" t="s">
        <v>419</v>
      </c>
      <c r="E286" s="6" t="s">
        <v>420</v>
      </c>
      <c r="F286" s="6" t="s">
        <v>834</v>
      </c>
    </row>
    <row r="287" customFormat="false" ht="15" hidden="false" customHeight="true" outlineLevel="0" collapsed="false">
      <c r="A287" s="8" t="s">
        <v>280</v>
      </c>
      <c r="B287" s="8" t="s">
        <v>42</v>
      </c>
      <c r="C287" s="8" t="s">
        <v>418</v>
      </c>
      <c r="D287" s="8" t="s">
        <v>419</v>
      </c>
      <c r="E287" s="8" t="s">
        <v>420</v>
      </c>
      <c r="F287" s="8" t="s">
        <v>835</v>
      </c>
    </row>
    <row r="288" customFormat="false" ht="15" hidden="false" customHeight="true" outlineLevel="0" collapsed="false">
      <c r="A288" s="6" t="s">
        <v>836</v>
      </c>
      <c r="B288" s="6" t="s">
        <v>42</v>
      </c>
      <c r="C288" s="6" t="s">
        <v>414</v>
      </c>
      <c r="D288" s="6" t="s">
        <v>422</v>
      </c>
      <c r="E288" s="6" t="s">
        <v>414</v>
      </c>
      <c r="F288" s="6" t="s">
        <v>837</v>
      </c>
    </row>
    <row r="289" customFormat="false" ht="15" hidden="false" customHeight="true" outlineLevel="0" collapsed="false">
      <c r="A289" s="8" t="s">
        <v>838</v>
      </c>
      <c r="B289" s="8" t="s">
        <v>42</v>
      </c>
      <c r="C289" s="8" t="s">
        <v>414</v>
      </c>
      <c r="D289" s="8" t="s">
        <v>419</v>
      </c>
      <c r="E289" s="8" t="s">
        <v>420</v>
      </c>
      <c r="F289" s="8" t="s">
        <v>839</v>
      </c>
    </row>
    <row r="290" customFormat="false" ht="15" hidden="false" customHeight="true" outlineLevel="0" collapsed="false">
      <c r="A290" s="6" t="s">
        <v>282</v>
      </c>
      <c r="B290" s="6" t="s">
        <v>134</v>
      </c>
      <c r="C290" s="6" t="s">
        <v>418</v>
      </c>
      <c r="D290" s="6" t="s">
        <v>419</v>
      </c>
      <c r="E290" s="6" t="s">
        <v>420</v>
      </c>
      <c r="F290" s="6" t="s">
        <v>840</v>
      </c>
    </row>
    <row r="291" customFormat="false" ht="15" hidden="false" customHeight="true" outlineLevel="0" collapsed="false">
      <c r="A291" s="8" t="s">
        <v>841</v>
      </c>
      <c r="B291" s="8" t="s">
        <v>133</v>
      </c>
      <c r="C291" s="8" t="s">
        <v>418</v>
      </c>
      <c r="D291" s="8" t="s">
        <v>419</v>
      </c>
      <c r="E291" s="8" t="s">
        <v>420</v>
      </c>
      <c r="F291" s="8" t="s">
        <v>842</v>
      </c>
    </row>
    <row r="292" customFormat="false" ht="15" hidden="false" customHeight="true" outlineLevel="0" collapsed="false">
      <c r="A292" s="6" t="s">
        <v>843</v>
      </c>
      <c r="B292" s="6" t="s">
        <v>133</v>
      </c>
      <c r="C292" s="6" t="s">
        <v>414</v>
      </c>
      <c r="D292" s="6" t="s">
        <v>422</v>
      </c>
      <c r="E292" s="6" t="s">
        <v>414</v>
      </c>
      <c r="F292" s="6" t="s">
        <v>844</v>
      </c>
    </row>
    <row r="293" customFormat="false" ht="15" hidden="false" customHeight="true" outlineLevel="0" collapsed="false">
      <c r="A293" s="8" t="s">
        <v>845</v>
      </c>
      <c r="B293" s="8" t="s">
        <v>133</v>
      </c>
      <c r="C293" s="8" t="s">
        <v>414</v>
      </c>
      <c r="D293" s="8" t="s">
        <v>419</v>
      </c>
      <c r="E293" s="8" t="s">
        <v>420</v>
      </c>
      <c r="F293" s="8" t="s">
        <v>846</v>
      </c>
    </row>
    <row r="294" customFormat="false" ht="15" hidden="false" customHeight="true" outlineLevel="0" collapsed="false">
      <c r="A294" s="6" t="s">
        <v>284</v>
      </c>
      <c r="B294" s="6" t="s">
        <v>42</v>
      </c>
      <c r="C294" s="6" t="s">
        <v>418</v>
      </c>
      <c r="D294" s="6" t="s">
        <v>419</v>
      </c>
      <c r="E294" s="6" t="s">
        <v>420</v>
      </c>
      <c r="F294" s="6" t="s">
        <v>847</v>
      </c>
    </row>
    <row r="295" customFormat="false" ht="15" hidden="false" customHeight="true" outlineLevel="0" collapsed="false">
      <c r="A295" s="8" t="s">
        <v>848</v>
      </c>
      <c r="B295" s="8" t="s">
        <v>134</v>
      </c>
      <c r="C295" s="8" t="s">
        <v>414</v>
      </c>
      <c r="D295" s="8" t="s">
        <v>422</v>
      </c>
      <c r="E295" s="8" t="s">
        <v>414</v>
      </c>
      <c r="F295" s="8" t="s">
        <v>849</v>
      </c>
    </row>
    <row r="296" customFormat="false" ht="15" hidden="false" customHeight="true" outlineLevel="0" collapsed="false">
      <c r="A296" s="6" t="s">
        <v>848</v>
      </c>
      <c r="B296" s="6" t="s">
        <v>134</v>
      </c>
      <c r="C296" s="6" t="s">
        <v>414</v>
      </c>
      <c r="D296" s="6" t="s">
        <v>419</v>
      </c>
      <c r="E296" s="6" t="s">
        <v>420</v>
      </c>
      <c r="F296" s="6" t="s">
        <v>850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10"/>
  </cols>
  <sheetData>
    <row r="1" customFormat="false" ht="17.25" hidden="false" customHeight="true" outlineLevel="0" collapsed="false">
      <c r="A1" s="28" t="s">
        <v>851</v>
      </c>
    </row>
    <row r="3" customFormat="false" ht="15" hidden="false" customHeight="true" outlineLevel="0" collapsed="false">
      <c r="A3" s="5" t="s">
        <v>852</v>
      </c>
      <c r="B3" s="5" t="s">
        <v>4</v>
      </c>
    </row>
    <row r="4" customFormat="false" ht="15" hidden="false" customHeight="true" outlineLevel="0" collapsed="false">
      <c r="A4" s="6" t="s">
        <v>853</v>
      </c>
      <c r="B4" s="6" t="n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3" min="2" style="1" width="10"/>
    <col collapsed="false" customWidth="true" hidden="false" outlineLevel="0" max="4" min="4" style="1" width="16"/>
    <col collapsed="false" customWidth="true" hidden="false" outlineLevel="0" max="6" min="5" style="1" width="12"/>
    <col collapsed="false" customWidth="true" hidden="false" outlineLevel="0" max="7" min="7" style="1" width="10"/>
    <col collapsed="false" customWidth="true" hidden="false" outlineLevel="0" max="9" min="8" style="1" width="12"/>
    <col collapsed="false" customWidth="true" hidden="false" outlineLevel="0" max="10" min="10" style="1" width="40"/>
  </cols>
  <sheetData>
    <row r="1" customFormat="false" ht="17.25" hidden="false" customHeight="true" outlineLevel="0" collapsed="false">
      <c r="A1" s="28" t="s">
        <v>854</v>
      </c>
    </row>
    <row r="3" customFormat="false" ht="15" hidden="false" customHeight="true" outlineLevel="0" collapsed="false">
      <c r="A3" s="5" t="s">
        <v>287</v>
      </c>
      <c r="B3" s="5" t="s">
        <v>39</v>
      </c>
      <c r="C3" s="5" t="s">
        <v>40</v>
      </c>
      <c r="D3" s="5" t="s">
        <v>411</v>
      </c>
      <c r="E3" s="5" t="s">
        <v>140</v>
      </c>
      <c r="F3" s="5" t="s">
        <v>855</v>
      </c>
      <c r="G3" s="5" t="s">
        <v>856</v>
      </c>
      <c r="H3" s="5" t="s">
        <v>41</v>
      </c>
      <c r="I3" s="5" t="s">
        <v>857</v>
      </c>
      <c r="J3" s="5" t="s">
        <v>858</v>
      </c>
    </row>
    <row r="4" customFormat="false" ht="15" hidden="false" customHeight="true" outlineLevel="0" collapsed="false">
      <c r="A4" s="6" t="s">
        <v>859</v>
      </c>
      <c r="B4" s="6" t="s">
        <v>42</v>
      </c>
      <c r="C4" s="6" t="s">
        <v>43</v>
      </c>
      <c r="D4" s="6" t="s">
        <v>860</v>
      </c>
      <c r="E4" s="6" t="n">
        <v>187.571</v>
      </c>
      <c r="F4" s="6" t="n">
        <v>187.484</v>
      </c>
      <c r="G4" s="6" t="n">
        <v>0.5</v>
      </c>
      <c r="H4" s="11" t="n">
        <v>-30.38</v>
      </c>
      <c r="I4" s="6" t="s">
        <v>861</v>
      </c>
      <c r="J4" s="6"/>
    </row>
    <row r="6" customFormat="false" ht="15" hidden="false" customHeight="true" outlineLevel="0" collapsed="false">
      <c r="A6" s="32" t="s">
        <v>44</v>
      </c>
      <c r="H6" s="36" t="n">
        <f aca="false">SUM(H4)</f>
        <v>-30.38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24" t="s">
        <v>862</v>
      </c>
    </row>
    <row r="2" customFormat="false" ht="15" hidden="false" customHeight="false" outlineLevel="0" collapsed="false">
      <c r="A2" s="37"/>
    </row>
    <row r="3" customFormat="false" ht="15" hidden="false" customHeight="false" outlineLevel="0" collapsed="false">
      <c r="A3" s="37" t="s">
        <v>863</v>
      </c>
    </row>
    <row r="4" customFormat="false" ht="15" hidden="false" customHeight="false" outlineLevel="0" collapsed="false">
      <c r="A4" s="37" t="s">
        <v>864</v>
      </c>
    </row>
    <row r="5" customFormat="false" ht="15" hidden="false" customHeight="false" outlineLevel="0" collapsed="false">
      <c r="A5" s="37" t="s">
        <v>865</v>
      </c>
    </row>
    <row r="6" customFormat="false" ht="15" hidden="false" customHeight="false" outlineLevel="0" collapsed="false">
      <c r="A6" s="37"/>
    </row>
    <row r="7" customFormat="false" ht="15" hidden="false" customHeight="false" outlineLevel="0" collapsed="false">
      <c r="A7" s="37" t="s">
        <v>866</v>
      </c>
    </row>
    <row r="8" customFormat="false" ht="15" hidden="false" customHeight="false" outlineLevel="0" collapsed="false">
      <c r="A8" s="37" t="s">
        <v>867</v>
      </c>
    </row>
    <row r="9" customFormat="false" ht="15" hidden="false" customHeight="false" outlineLevel="0" collapsed="false">
      <c r="A9" s="37" t="s">
        <v>868</v>
      </c>
    </row>
    <row r="10" customFormat="false" ht="15" hidden="false" customHeight="false" outlineLevel="0" collapsed="false">
      <c r="A10" s="37" t="s">
        <v>869</v>
      </c>
    </row>
    <row r="11" customFormat="false" ht="15" hidden="false" customHeight="false" outlineLevel="0" collapsed="false">
      <c r="A11" s="37"/>
    </row>
    <row r="12" customFormat="false" ht="15" hidden="false" customHeight="false" outlineLevel="0" collapsed="false">
      <c r="A12" s="37" t="s">
        <v>870</v>
      </c>
    </row>
    <row r="13" customFormat="false" ht="15" hidden="false" customHeight="false" outlineLevel="0" collapsed="false">
      <c r="A13" s="37" t="s">
        <v>871</v>
      </c>
    </row>
    <row r="14" customFormat="false" ht="15" hidden="false" customHeight="false" outlineLevel="0" collapsed="false">
      <c r="A14" s="37" t="s">
        <v>872</v>
      </c>
    </row>
    <row r="15" customFormat="false" ht="15" hidden="false" customHeight="false" outlineLevel="0" collapsed="false">
      <c r="A15" s="37" t="s">
        <v>873</v>
      </c>
    </row>
    <row r="16" customFormat="false" ht="15" hidden="false" customHeight="false" outlineLevel="0" collapsed="false">
      <c r="A16" s="37" t="s">
        <v>874</v>
      </c>
    </row>
    <row r="17" customFormat="false" ht="15" hidden="false" customHeight="false" outlineLevel="0" collapsed="false">
      <c r="A17" s="37" t="s">
        <v>875</v>
      </c>
    </row>
    <row r="18" customFormat="false" ht="15" hidden="false" customHeight="false" outlineLevel="0" collapsed="false">
      <c r="A18" s="37" t="s">
        <v>876</v>
      </c>
    </row>
    <row r="19" customFormat="false" ht="15" hidden="false" customHeight="false" outlineLevel="0" collapsed="false">
      <c r="A19" s="37"/>
    </row>
    <row r="20" customFormat="false" ht="15" hidden="false" customHeight="false" outlineLevel="0" collapsed="false">
      <c r="A20" s="37" t="s">
        <v>877</v>
      </c>
    </row>
    <row r="21" customFormat="false" ht="15" hidden="false" customHeight="false" outlineLevel="0" collapsed="false">
      <c r="A21" s="37" t="s">
        <v>878</v>
      </c>
    </row>
    <row r="22" customFormat="false" ht="15" hidden="false" customHeight="false" outlineLevel="0" collapsed="false">
      <c r="A22" s="37" t="s">
        <v>879</v>
      </c>
    </row>
    <row r="23" customFormat="false" ht="15" hidden="false" customHeight="false" outlineLevel="0" collapsed="false">
      <c r="A23" s="37" t="s">
        <v>880</v>
      </c>
    </row>
    <row r="24" customFormat="false" ht="15" hidden="false" customHeight="false" outlineLevel="0" collapsed="false">
      <c r="A24" s="37" t="s">
        <v>881</v>
      </c>
    </row>
    <row r="25" customFormat="false" ht="15" hidden="false" customHeight="false" outlineLevel="0" collapsed="false">
      <c r="A25" s="37" t="s">
        <v>882</v>
      </c>
    </row>
    <row r="26" customFormat="false" ht="15" hidden="false" customHeight="false" outlineLevel="0" collapsed="false">
      <c r="A26" s="37" t="s">
        <v>883</v>
      </c>
    </row>
    <row r="27" customFormat="false" ht="15" hidden="false" customHeight="false" outlineLevel="0" collapsed="false">
      <c r="A27" s="37"/>
    </row>
    <row r="28" customFormat="false" ht="15" hidden="false" customHeight="false" outlineLevel="0" collapsed="false">
      <c r="A28" s="37" t="s">
        <v>884</v>
      </c>
    </row>
    <row r="29" customFormat="false" ht="15" hidden="false" customHeight="false" outlineLevel="0" collapsed="false">
      <c r="A29" s="37" t="s">
        <v>885</v>
      </c>
    </row>
    <row r="30" customFormat="false" ht="15" hidden="false" customHeight="false" outlineLevel="0" collapsed="false">
      <c r="A30" s="37" t="s">
        <v>886</v>
      </c>
    </row>
    <row r="31" customFormat="false" ht="15" hidden="false" customHeight="false" outlineLevel="0" collapsed="false">
      <c r="A31" s="37"/>
    </row>
    <row r="32" customFormat="false" ht="15" hidden="false" customHeight="false" outlineLevel="0" collapsed="false">
      <c r="A32" s="37" t="s">
        <v>887</v>
      </c>
    </row>
    <row r="33" customFormat="false" ht="15" hidden="false" customHeight="false" outlineLevel="0" collapsed="false">
      <c r="A33" s="37" t="s">
        <v>888</v>
      </c>
    </row>
    <row r="34" customFormat="false" ht="15" hidden="false" customHeight="false" outlineLevel="0" collapsed="false">
      <c r="A34" s="37" t="s">
        <v>889</v>
      </c>
    </row>
    <row r="35" customFormat="false" ht="15" hidden="false" customHeight="false" outlineLevel="0" collapsed="false">
      <c r="A35" s="37" t="s">
        <v>890</v>
      </c>
    </row>
    <row r="36" customFormat="false" ht="15" hidden="false" customHeight="false" outlineLevel="0" collapsed="false">
      <c r="A36" s="37" t="s">
        <v>891</v>
      </c>
    </row>
    <row r="37" customFormat="false" ht="15" hidden="false" customHeight="false" outlineLevel="0" collapsed="false">
      <c r="A37" s="37" t="s">
        <v>892</v>
      </c>
    </row>
    <row r="38" customFormat="false" ht="15" hidden="false" customHeight="false" outlineLevel="0" collapsed="false">
      <c r="A38" s="37"/>
    </row>
    <row r="39" customFormat="false" ht="15" hidden="false" customHeight="false" outlineLevel="0" collapsed="false">
      <c r="A39" s="37" t="s">
        <v>893</v>
      </c>
    </row>
    <row r="40" customFormat="false" ht="15" hidden="false" customHeight="false" outlineLevel="0" collapsed="false">
      <c r="A40" s="37" t="s">
        <v>894</v>
      </c>
    </row>
    <row r="41" customFormat="false" ht="15" hidden="false" customHeight="false" outlineLevel="0" collapsed="false">
      <c r="A41" s="37" t="s">
        <v>895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2026-04-17T17:36:15Z</dcterms:created>
  <dc:creator>openpyxl</dc:creator>
  <dc:description/>
  <dc:language>en-US</dc:language>
  <cp:lastModifiedBy/>
  <dcterms:modified xsi:type="dcterms:W3CDTF">2026-04-17T18:45:08Z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